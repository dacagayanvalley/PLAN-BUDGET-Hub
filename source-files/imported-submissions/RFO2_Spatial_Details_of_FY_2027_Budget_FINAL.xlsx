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BY INTERVENTION" sheetId="1" r:id="rId1"/>
    <sheet name="BY COMMODITY or INDUST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<sst xmlns="http://schemas.openxmlformats.org/spreadsheetml/2006/main" count="8070" uniqueCount="538">
  <si>
    <t>DEPARTMENT OF AGRICULTURE</t>
  </si>
  <si>
    <t>FY 2027 Plan and Budget Proposals (PBP)</t>
  </si>
  <si>
    <t>ACCOMPLISHED BY: DA RFO2</t>
  </si>
  <si>
    <t>Indicative Geographic and Intervention Targeting of FY 2027 Budget Proposals</t>
  </si>
  <si>
    <t>Region</t>
  </si>
  <si>
    <t>Province</t>
  </si>
  <si>
    <t>City/ Municipality</t>
  </si>
  <si>
    <t>LGU-Identified Co-Investment Intervention (2026 MAFIF &amp; Meeting with Mindanao LCEs)</t>
  </si>
  <si>
    <t>DA OU's FY 2027 Proposed Allocation corresponding to the intervention in column 4 (if any)</t>
  </si>
  <si>
    <t>Additional FY 2027 Intervention Entry of the DA OU (if not reflected in Column 4)
(specify the type of intervention)</t>
  </si>
  <si>
    <t>DA OU's FY 2027 Proposed Allocation corresponding to the intervention in Column 7</t>
  </si>
  <si>
    <t>DA Operating Unit / Agency with Corresponding FY 2027 Proposal</t>
  </si>
  <si>
    <t>TIER 1 ('000)</t>
  </si>
  <si>
    <t>TIER 2 ('000)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</si>
  <si>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</si>
  <si>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</si>
  <si>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</si>
  <si>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</si>
  <si>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</si>
  <si>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</si>
  <si>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</si>
  <si>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</si>
  <si>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</si>
  <si>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</si>
  <si>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Inferred Commodity/Industry</t>
  </si>
  <si>
    <t>Region 2</t>
  </si>
  <si>
    <t>Batanes</t>
  </si>
  <si>
    <t>Basco</t>
  </si>
  <si>
    <t>Construction  of Chinteb-Chahayan FMR, Brgy. San Antonio, Basco, Batanes</t>
  </si>
  <si>
    <t>DA-FMRDP</t>
  </si>
  <si>
    <t>Construction of Sapuno-Malakdang FMR, Brgy. Kayvaluganan, Basco, Batanes</t>
  </si>
  <si>
    <t>FMR Construction/Concreting</t>
  </si>
  <si>
    <t>HVC-based Project distributed - SAAD Program</t>
  </si>
  <si>
    <t>DA-RFO2 SAAD</t>
  </si>
  <si>
    <t>Organic Fertizer - HVCDP</t>
  </si>
  <si>
    <t>DA-RFO2 HVCDP</t>
  </si>
  <si>
    <t>Seeds - HVCDP</t>
  </si>
  <si>
    <t>Itbayat</t>
  </si>
  <si>
    <t>Buying, Consolidation, and Packaging Centers</t>
  </si>
  <si>
    <t>DA-RFO2</t>
  </si>
  <si>
    <t>Construction of Aran-an-Kaysaysakan, Raele FMR, Brgy. Raele, Itbayat, Batanes</t>
  </si>
  <si>
    <t>Construction of Camaya-Ripused, Sta. Lucia FMR, Brgy. Sta. Lucia, Itbayat, Batanes</t>
  </si>
  <si>
    <t>Potable Water Supply Systems</t>
  </si>
  <si>
    <t>Rice Processing Centers</t>
  </si>
  <si>
    <t>Ivana</t>
  </si>
  <si>
    <t>Construction of Nakurang-Tukon-Chatujian, Brgy Radiwan FMR Phase IV,  Brgy. Radiwan,  Ivana, Batanes</t>
  </si>
  <si>
    <t>Construction of Sivukot-Aramain, Brgy Tuhel FMR, Brgy. Tubel, Ivana, Batanes</t>
  </si>
  <si>
    <t>Irrigation Systems</t>
  </si>
  <si>
    <t>Silos</t>
  </si>
  <si>
    <t>Slaughterhouse &amp; Abattoir</t>
  </si>
  <si>
    <t>Mahatao</t>
  </si>
  <si>
    <t>Mechanical Dryers / Multi-Purpose Dryers</t>
  </si>
  <si>
    <t>Warehouse Facilities</t>
  </si>
  <si>
    <t>Sabtang</t>
  </si>
  <si>
    <t>Construction of Satuvang-Chaninu, Brgy. Savidug FMR Phase III, Brgy. Savidug, Sabtang, Batanes</t>
  </si>
  <si>
    <t>Construction of Sitio Riwas-Roro Port, Brgy. Malakdang FMR, Brgy. Malakdang, Sabtang, Batanes</t>
  </si>
  <si>
    <t>Uyugan</t>
  </si>
  <si>
    <t>Common Service Facilities</t>
  </si>
  <si>
    <t>Construction of Chanalan-Mahedhed, Brgy. Kayvaluganan FMR,  Brgy. Kayvaluganan,   Uyugan, Batanes</t>
  </si>
  <si>
    <t>Construction of Chingteb-Babal FMR Phase III, Brgy Imnajbu, Uyugan, Batanes</t>
  </si>
  <si>
    <t>Hauling Truck (1 unit) - SAAD</t>
  </si>
  <si>
    <t>Cagayan</t>
  </si>
  <si>
    <t>Abulug</t>
  </si>
  <si>
    <t>Fertilizer Assistance - inorganic - Hybrid Area - RICE Program</t>
  </si>
  <si>
    <t>DA-RFO2 RICE</t>
  </si>
  <si>
    <t>Forklift - RICE Program</t>
  </si>
  <si>
    <t>Forklift (1 unit) - Rice Program</t>
  </si>
  <si>
    <t>DA-RFO2 Rice Program</t>
  </si>
  <si>
    <t>Hauling Truck - RICE Program</t>
  </si>
  <si>
    <t>Hauling Truck (1 unit) - Rice Program</t>
  </si>
  <si>
    <t>Hybrid Seeds and Inorganic Fertilizers - RICE</t>
  </si>
  <si>
    <t>Inorganic Fertilizers for Inbred Rice - RICE</t>
  </si>
  <si>
    <t>Liquid Fertizer - HVCDP</t>
  </si>
  <si>
    <t>Rice Farm Cluster Establishment - RICE</t>
  </si>
  <si>
    <t>YELLOW CORN PRODUCTION ENHANCEMENT PROJECT - CORN</t>
  </si>
  <si>
    <t>DA-RFO2 CORN</t>
  </si>
  <si>
    <t>Alcala</t>
  </si>
  <si>
    <t>Agricultural Lime - CORN Program</t>
  </si>
  <si>
    <t>Biofertilizer - CORN Program</t>
  </si>
  <si>
    <t>Carabao Multiplier - LIVESTOCK Program</t>
  </si>
  <si>
    <t>DA-RFO2 LIVESTOCK</t>
  </si>
  <si>
    <t>Carabao Multiplier Farm under the Livestock Economic Developmet Project - LIVESTOCK</t>
  </si>
  <si>
    <t>Concreting of Capacuan FMR, Brgy. Dalaoig, Alcala, Cagayan</t>
  </si>
  <si>
    <t>Concreting of Damurog FMR, Brgy. Damurog, Alcala, Cagayan</t>
  </si>
  <si>
    <t>Concreting of Dublon-Callao FMR, Brgy. San Esteban, Alcala, Cagayan</t>
  </si>
  <si>
    <t>Concreting of Malamban FMR, Brgy. Dalaoig, Alcala, Cagayan</t>
  </si>
  <si>
    <t>Concreting of Pagbangkeruan-Damurog FMR, Brgy. Pagbangkeruan, Alcala, Cagayan</t>
  </si>
  <si>
    <t>Concreting of Pared- Agani FMR, Brgy. Pared and Brgy. Agani, Alcala, Cagayan</t>
  </si>
  <si>
    <t>Concreting of Sitio Banal FMR, Brgy. Dalaoig, Alcala, Cagayan</t>
  </si>
  <si>
    <t>Concreting of Sitio Bulbulala FMR, Brgy. Dalaoig, Alcala, Cagayan</t>
  </si>
  <si>
    <t>Hybrid (GM) - CORN Program</t>
  </si>
  <si>
    <t>Inorganic Fertilizer - CORN Program</t>
  </si>
  <si>
    <t>Inorganic Fertizer - HVCDP</t>
  </si>
  <si>
    <t>MCDP with Shed (1 unit) - Rice Program</t>
  </si>
  <si>
    <t>Mobile Solar Powered Irrigation System - CORN Program</t>
  </si>
  <si>
    <t>Mobile SPIS (1 unit) - Corn Program</t>
  </si>
  <si>
    <t>DA-RFO2 Corn Program</t>
  </si>
  <si>
    <t>OPV Glutinous - CORN Program</t>
  </si>
  <si>
    <t>Organic  Fertilizer - HVCDP</t>
  </si>
  <si>
    <t>RECOMMENDED CORN PRODUCTION TECHNOLOGIES (RCPT) - CORN</t>
  </si>
  <si>
    <t>Rehabilitation of Masin SPIS I (1 unit) - Rice Program</t>
  </si>
  <si>
    <t>Rehabilitation of Masin SPIS II (1 unit) - Rice Program</t>
  </si>
  <si>
    <t>Soybean Seeds - CORN Program</t>
  </si>
  <si>
    <t>WHITE CORN PRODUCTION ENHANCEMENT PROJECT - CORN</t>
  </si>
  <si>
    <t>Allacapan</t>
  </si>
  <si>
    <t>Concreting of Brgy. Matucay  to Sinuttulan FMR, Brgy. Matucay, Allacapan, Cagayan</t>
  </si>
  <si>
    <t>Concreting of Brgy. Tubel Farm-to-Market Road, Brgy. Tubel, Allacapan, Cagayan</t>
  </si>
  <si>
    <t>Concreting of Sitio Macagatao Capanickian FMR</t>
  </si>
  <si>
    <t>Corn Seeder (2 units) - Corn Program</t>
  </si>
  <si>
    <t>Improvement of Bessang SWIP (1 unit) - Rice Program</t>
  </si>
  <si>
    <t>Two-row Seeder - CORN Program</t>
  </si>
  <si>
    <t>Amulung</t>
  </si>
  <si>
    <t>Combine Harvester (1 unit) - Corn Program</t>
  </si>
  <si>
    <t>Concreting of Brgy. La Suerte FMR</t>
  </si>
  <si>
    <t>Corn Combine Harvester - CORN Program</t>
  </si>
  <si>
    <t>Fertilizer Assistance - inorganic- Hybrid Area - RICE Program</t>
  </si>
  <si>
    <t>Four-Wheel Drive Tractor (1 unit) - Corn Program</t>
  </si>
  <si>
    <t>Four-wheel Drive Tractor for Corn (90-95HP) - CORN Program</t>
  </si>
  <si>
    <t>Hybrid Yellow Corn - CORN Program</t>
  </si>
  <si>
    <t>Mechanical Corn Seeder (1 unit) - Corn Program</t>
  </si>
  <si>
    <t>Mechanical Four-row Planter - CORN Program</t>
  </si>
  <si>
    <t>Open Source Pumping Set - CORN Program</t>
  </si>
  <si>
    <t>Pump and Engine Set (10 units) - Corn Program</t>
  </si>
  <si>
    <t>Rice Model Farm - RICE</t>
  </si>
  <si>
    <t>Aparri</t>
  </si>
  <si>
    <t>CASSAVA PRODUCTION ENHANCEMENT PROJECT - CORN</t>
  </si>
  <si>
    <t>Concreting of Toran FMR</t>
  </si>
  <si>
    <t>Procurement of Inorganic Fertilizer - CORN Program</t>
  </si>
  <si>
    <t>Production of Cassava Seed Pieces - CORN Program</t>
  </si>
  <si>
    <t>Baggao</t>
  </si>
  <si>
    <t>Concreting of Brgy. Awallan FMR, Brgy. Awallan, Baggao, Cagayan</t>
  </si>
  <si>
    <t>Concreting of Brgy. San Francisco FMR, Brgy. San Francisco, Baggao, Cagayan</t>
  </si>
  <si>
    <t>Concreting of Sitio Maroma FMR, Brgy. San Antonio, Baggao, Cagayan</t>
  </si>
  <si>
    <t>Establishment of Ube Demo Farm - HVCDP Export</t>
  </si>
  <si>
    <t>DA-RFO2 HVCDP Export</t>
  </si>
  <si>
    <t>SOYBEAN MODEL FARM - CORN</t>
  </si>
  <si>
    <t>SOYBEAN PRODUCTION ENHANCEMENT PROJECT - CORN</t>
  </si>
  <si>
    <t>Ballesteros</t>
  </si>
  <si>
    <t>Buguey</t>
  </si>
  <si>
    <t>Concreting of Maddalero-San Lorenzo FMR</t>
  </si>
  <si>
    <t>Silo (2 units) - Rice Program</t>
  </si>
  <si>
    <t>Warehouse (1 unit) - Rice Program</t>
  </si>
  <si>
    <t>Calayan</t>
  </si>
  <si>
    <t>Construction of Balagubag West FMR</t>
  </si>
  <si>
    <t>Corn Mill (1 unit) - SAAD</t>
  </si>
  <si>
    <t>Corn Seeder (5 units) - Corn Program</t>
  </si>
  <si>
    <t>Mini Tilling Machine (1 unit) - SAAD</t>
  </si>
  <si>
    <t>OPV White Glutinous - CORN Program</t>
  </si>
  <si>
    <t>Specialized Trainings conducted - SAAD Program</t>
  </si>
  <si>
    <t>Camalaniugan</t>
  </si>
  <si>
    <t>Concreting of Brgy Abagao FMR, Brgy. Abago, Camalaniugan, Cagayan</t>
  </si>
  <si>
    <t>Concreting of Brgy Joaquin Dela Cruz FMR, Brgy. Joaquin Dela Cruz, Camalaniugan, Cagayan</t>
  </si>
  <si>
    <t>Concreting of Brgy Paragat FMR, Brgy. Paragat, Camalaniugan, Cagayan</t>
  </si>
  <si>
    <t>Concreting of Brgy Tagum FMR, Brgy. Tagum, Camalaniugan, Cagayan</t>
  </si>
  <si>
    <t>Concreting of Felipe Tuzon FMR, Brgy. Felipe Tuzon, Camalaniugan, Cagayan</t>
  </si>
  <si>
    <t>Solar sets - LIVESTOCK Program</t>
  </si>
  <si>
    <t>Claveria</t>
  </si>
  <si>
    <t>Construction of Sitio Salpad FMR</t>
  </si>
  <si>
    <t>Enrile</t>
  </si>
  <si>
    <t>Concreting Brgy. Divisoria-Carague Lake FMR</t>
  </si>
  <si>
    <t>Procurement of Animal Hauling Trucks - LIVESTOCK</t>
  </si>
  <si>
    <t>Solar Set - LIVESTOCK Program</t>
  </si>
  <si>
    <t>Gattaran</t>
  </si>
  <si>
    <t>Corn Complex (1 unit) - Corn Program</t>
  </si>
  <si>
    <t>Corn Postharvest Facility - CORN Program</t>
  </si>
  <si>
    <t>GM Hybrid Corn Seeds - 4KS Program</t>
  </si>
  <si>
    <t>DA-RFO2 4KS</t>
  </si>
  <si>
    <t>Hand Tractor with Implement - 4KS Program</t>
  </si>
  <si>
    <t>Gonzaga</t>
  </si>
  <si>
    <t>Concreting of Edmund Bana Lim FMR</t>
  </si>
  <si>
    <t>Concreting of Lacub Tapel FMR, Brgy. Tapel, Gonzaga, Cagayan</t>
  </si>
  <si>
    <t>Garden Tools - 4KS Program</t>
  </si>
  <si>
    <t>Grass Cutter - 4KS Program</t>
  </si>
  <si>
    <t>Hybrid Yellow - CORN Program</t>
  </si>
  <si>
    <t>Knapsack - 4KS Program</t>
  </si>
  <si>
    <t>Lowland Vegetables - 4KS Program</t>
  </si>
  <si>
    <t>Open Source Pump Set - 4KS Program</t>
  </si>
  <si>
    <t>Organic Fertilizer - 4KS Program</t>
  </si>
  <si>
    <t>Procurement of Hauling Trucks - LIVESTOCK Program</t>
  </si>
  <si>
    <t>Rehabilitation of Isca DD (1 unit) - Rice Program</t>
  </si>
  <si>
    <t>Ube Planting Materials - 4KS Program</t>
  </si>
  <si>
    <t>Upland Vegetables - 4KS Program</t>
  </si>
  <si>
    <t>Iguig</t>
  </si>
  <si>
    <t>Lal-lo</t>
  </si>
  <si>
    <t>ZECC (2 units) - HVCDP</t>
  </si>
  <si>
    <t>Lasam</t>
  </si>
  <si>
    <t>Concreting of Brgy Gabun (Sitio Ballasiw) FMR, Brgy. Gabun, Lasam, Cagayan</t>
  </si>
  <si>
    <t>Concreting of Brgy Gabun (Sitio Ballasiw) Phase II FMR, Brgy. Gabun, Lasam, Cagayan</t>
  </si>
  <si>
    <t>Construction of IBJ-Viga FMR</t>
  </si>
  <si>
    <t>SORGHUM MODEL FARM - CORN</t>
  </si>
  <si>
    <t>Sorghum Model Farm - CORN Program</t>
  </si>
  <si>
    <t>Warehouse - CORN Program</t>
  </si>
  <si>
    <t>Warehouse (1 unit) - Corn Program</t>
  </si>
  <si>
    <t>Pamplona</t>
  </si>
  <si>
    <t>Concreting of Sitio Layuk , Brgy. Bagu FMR , Brgy. Bagu, Pamplona, Cagayan</t>
  </si>
  <si>
    <t>Nursery - NUPAP Program</t>
  </si>
  <si>
    <t>DA-RFO2 NUPAP</t>
  </si>
  <si>
    <t>Nursery (1 unit) - HVCDP</t>
  </si>
  <si>
    <t>Nursery (1 unit) - NUPAP</t>
  </si>
  <si>
    <t>Peñablanca</t>
  </si>
  <si>
    <t>Concreting of Cabasan FMR</t>
  </si>
  <si>
    <t>Establishment of Banana (Cardaba) Demo Farm - HVCDP Export</t>
  </si>
  <si>
    <t>Hermetic Bag (Grain Pro Bag) - HVCDP</t>
  </si>
  <si>
    <t>Piat</t>
  </si>
  <si>
    <t>Concreting of Apayao-Asiga SWIP FMR, Brgy.  Apayao, Piat, Cagayan</t>
  </si>
  <si>
    <t>SPIS (1 unit) - HVCDP</t>
  </si>
  <si>
    <t>Rizal</t>
  </si>
  <si>
    <t>Concreting of Duyun FMR</t>
  </si>
  <si>
    <t>Multi-Cultivator (1 unit) - SAAD</t>
  </si>
  <si>
    <t>Thresher (1 unit) - SAAD</t>
  </si>
  <si>
    <t>Sanchez Mira</t>
  </si>
  <si>
    <t>Concreting of Gammaro FMR, Brgy. Bangan, Sanchez, Mira, Cagayan</t>
  </si>
  <si>
    <t>Lowland Vegetable - 4KS Program</t>
  </si>
  <si>
    <t>Organic Fertilizers - 4KS Program</t>
  </si>
  <si>
    <t>Santa Ana</t>
  </si>
  <si>
    <t>Concreting of Brgy Diora-Zinungan FMR, Brgy. Diora and Brgy. Zinumgan, Sta Ana, Cagayan</t>
  </si>
  <si>
    <t>Concreting of Dumasag FMR, Brgy. Rapuli, Sta. Ana, Cagayan</t>
  </si>
  <si>
    <t>Concreting of Sitio Lubac FMR, Brgy. San Vicente, Sta. Ana, Cagayan</t>
  </si>
  <si>
    <t>Concreting of Tangatan-Casagan FMR</t>
  </si>
  <si>
    <t>Santa Praxedes</t>
  </si>
  <si>
    <t>Walking Type Agricultural Tractor- Rotary Tilling Type (1 unit) - SAAD</t>
  </si>
  <si>
    <t>Santa Teresita</t>
  </si>
  <si>
    <t>Concreting of Buyaboc-BFAR FMR, Brgy. Simpatuyo, Sta. Teresita, Cagayan</t>
  </si>
  <si>
    <t>Solana</t>
  </si>
  <si>
    <t>Concreting Centro Northwest-Nangalisan FMR</t>
  </si>
  <si>
    <t>Concreting of Brgy. Centro Northwest FMR, Brgy. Centro Northwest, Solana, Cagayan</t>
  </si>
  <si>
    <t>Concreting of Centro - Nangalisan FMR Phase 2, Brgy. Nangalisan, Solana, Cagayan</t>
  </si>
  <si>
    <t>Concreting of Iraga FMR, Brgy. Iraga, Solana, Cagayan</t>
  </si>
  <si>
    <t>Sto. Niño</t>
  </si>
  <si>
    <t>Concreting Brgy. Lubo-Balani FMR</t>
  </si>
  <si>
    <t>Concreting of Brgy Calassitan FMR, Brgy. Calassitan, Santo Nino, Cagayan</t>
  </si>
  <si>
    <t>Tuao</t>
  </si>
  <si>
    <t>Concreting of Bicok-Malalinta Malummin FMR</t>
  </si>
  <si>
    <t>Conveyor (2 units) - Rice Program</t>
  </si>
  <si>
    <t>MCDP with Shed (2 units) - Rice Program</t>
  </si>
  <si>
    <t>Tuguegarao City</t>
  </si>
  <si>
    <t>Isabela</t>
  </si>
  <si>
    <t>Alicia</t>
  </si>
  <si>
    <t>Concreting of Spanish Road Brgy. Linglingay FMR</t>
  </si>
  <si>
    <t>Concreting of Sto. Domingo to Salvacion FMR, Brgy. Sto. Domingo and Brgy. Salvacion, Alicia, Isabela</t>
  </si>
  <si>
    <t>Fertilizer Assistance - inorganic - hybrid area - RICE Program</t>
  </si>
  <si>
    <t>Angadanan</t>
  </si>
  <si>
    <t>Cattle Multiplier Farm under the Livestock Economic Developmet Project - LIVESTOCK</t>
  </si>
  <si>
    <t>Concreting of Malasin FMR, Brgy. Malasin, Angadanan, Isabela</t>
  </si>
  <si>
    <t>Production of cassava seed pieces - CORN Program</t>
  </si>
  <si>
    <t>Aurora</t>
  </si>
  <si>
    <t>Bio-N - CORN Program</t>
  </si>
  <si>
    <t>Concreting of Malasin-Bagnos FMR</t>
  </si>
  <si>
    <t>Corn Seeder (3 units) - Corn Program</t>
  </si>
  <si>
    <t>SORGHUM PRODUCTION ENHANCEMENT PROJECT - CORN</t>
  </si>
  <si>
    <t>Two-Row Seeder - CORN Program</t>
  </si>
  <si>
    <t>Benito Soliven</t>
  </si>
  <si>
    <t>Cassava Model Farm - CORN Program</t>
  </si>
  <si>
    <t>Concreting of Villaluz-Gomez FMR</t>
  </si>
  <si>
    <t>Burgos</t>
  </si>
  <si>
    <t>Concreting of Caliguian-Malasin FMR, Brgy.  Caliguian, Burgos, Isabela</t>
  </si>
  <si>
    <t>Concreting of Caliguian-San Manuel FMR, Brgy. Caliguian and Brgy. San Manuel, Burgos, Isabela</t>
  </si>
  <si>
    <t>Concreting of Caliguian-San Miguel FMR, Brgy. Caliguian and Brgy. San Miguel, Bugos, Isabela</t>
  </si>
  <si>
    <t>Concreting of Cullalabo Del Norte-Masigun FMR, Brgy. Cullalabo Del Norte and Masigun,  Burgos, Isabela</t>
  </si>
  <si>
    <t>Concreting of Malasin-Pisang FMR, Brgy. Malasin and Brgy Pisang, Burgos, Isabela</t>
  </si>
  <si>
    <t>Concreting of Masigun-Caliguian FMR, Brgy. Masigun and Brgy. Caliguian, Burgos, Isabela</t>
  </si>
  <si>
    <t>Concreting of San Antonino FMR, Brgy. San Antonio, Burgos, Isabela</t>
  </si>
  <si>
    <t>Concreting of San Antonio-Masigun FMR, Brgy.  San Antonio, Burgos, Isabela</t>
  </si>
  <si>
    <t>Construction of Brgy. Dallig-Catabban FMR</t>
  </si>
  <si>
    <t>Cabagan</t>
  </si>
  <si>
    <t>Animal Hauling trucks - LIVESTOCK Program</t>
  </si>
  <si>
    <t>Cabatuan</t>
  </si>
  <si>
    <t>Concreting of Purok Ubbog-Brgy. Paraiso FMR</t>
  </si>
  <si>
    <t>Cauayan City</t>
  </si>
  <si>
    <t>CASSAVA MODEL FARM - CORN</t>
  </si>
  <si>
    <t>Concreting of Brgy Baculod-Brgy Dianao FMR, Brgy.  Baculod and Brgy Dianao,  Cauayan City, Cagayan</t>
  </si>
  <si>
    <t>Concreting of Brgy Cabugao-Brgy Sinippil FMR, Brgy Cabugao and Brgy Sinippil,  Cauayan City, Cagayan</t>
  </si>
  <si>
    <t>Concreting of Brgy Pinoma FMR, Brgy. Pinoma, Cauayan City, Isabela</t>
  </si>
  <si>
    <t>Concreting of FMR projects in Cauayan City</t>
  </si>
  <si>
    <t>Concreting of Rogus FMR Phase 2, Brgy. Rogus, Cauayan City, Isabela</t>
  </si>
  <si>
    <t>Corn Complex (Phase 2) - CORN Program</t>
  </si>
  <si>
    <t>Fork Lift - CORN Program</t>
  </si>
  <si>
    <t>Forklift (1 unit) - Corn Program</t>
  </si>
  <si>
    <t>Hauling Truck (1 unit) - Corn Program</t>
  </si>
  <si>
    <t>Hauling Truck (cargo truck) - CORN Program</t>
  </si>
  <si>
    <t>Hauling Truck (heavy cargo truck) - CORN Program</t>
  </si>
  <si>
    <t>Sorghum Seeds - CORN Program</t>
  </si>
  <si>
    <t>City of Ilagan</t>
  </si>
  <si>
    <t>Concreting Of Cabisera 17-21 To Sindon Maride Road FMR</t>
  </si>
  <si>
    <t>Corn Derby - CORN Program</t>
  </si>
  <si>
    <t>Greenhouse with Drip Irrigation - NUPAP Program</t>
  </si>
  <si>
    <t>Greenhouse with Drip Irrigation (1 unit) - NUPAP</t>
  </si>
  <si>
    <t>Vermi-Shed (1 unit) - OAP</t>
  </si>
  <si>
    <t>DA-RFO2 OAP</t>
  </si>
  <si>
    <t>Cordon</t>
  </si>
  <si>
    <t>Concreting of Brgy. Camarao FMR, Brgy. Camarao, Cordon, Isabela</t>
  </si>
  <si>
    <t>Concreting of Brgy. Gayong FMR</t>
  </si>
  <si>
    <t>Concreting of Gayong FMR, Brgy. Gayong, Cordon, Isabela</t>
  </si>
  <si>
    <t>Delfin Albano</t>
  </si>
  <si>
    <t>Concreting of Brgy Villa Pereda-Brgy San Macario FMR, Delfin Albano, Isabela</t>
  </si>
  <si>
    <t>Concreting of Sitio Villa TJ-Brgy. Carmencita Fmr, Delfin Albano, Isabela</t>
  </si>
  <si>
    <t>Dinapigue</t>
  </si>
  <si>
    <t>Pump and Engine set - 4KS Program</t>
  </si>
  <si>
    <t>Divilacan</t>
  </si>
  <si>
    <t>Improvement of Sapinit DD (1 unit) - Rice Program</t>
  </si>
  <si>
    <t>Echague</t>
  </si>
  <si>
    <t>Concreting of FMR in Echague</t>
  </si>
  <si>
    <t>Four-wheel drive tractor for Corn (90-95HP) - CORN Program</t>
  </si>
  <si>
    <t>Gamu</t>
  </si>
  <si>
    <t>Concreting of Barcolan-Mabini FMR</t>
  </si>
  <si>
    <t>Concreting of Mabini FMR, Brgy. Mabini, Gamu, Isabela</t>
  </si>
  <si>
    <t>Concreting of Rizal FMR, Brgy. Rizal, Gamu, Isabela</t>
  </si>
  <si>
    <t>Organic Production Facility (1 unit) - OAP</t>
  </si>
  <si>
    <t>Production Facility for Organic Fertilizer Production - OAP Program</t>
  </si>
  <si>
    <t>Jones</t>
  </si>
  <si>
    <t>Cattle Multiplier Farm - LIVESTOCK Program</t>
  </si>
  <si>
    <t>Rehabilitation/Concreting of Brgy Napaliong FMR, Brgy. Napaliong, Jones, Isabela</t>
  </si>
  <si>
    <t>Luna</t>
  </si>
  <si>
    <t>Concreting of Brgy Macañao-Luyao FMR</t>
  </si>
  <si>
    <t>Maconacon</t>
  </si>
  <si>
    <t>Improvement of Remia Intake Structure (1 unit) - Rice Program</t>
  </si>
  <si>
    <t>Mallig</t>
  </si>
  <si>
    <t>Complete Solar set up - LIVESTOCK</t>
  </si>
  <si>
    <t>Concreting of Maligaya-Rang Ayan FMR</t>
  </si>
  <si>
    <t>Concreting Of San Jose Sur-Maligaya FMR, Brgy. San Jose Sur and Brgy. Maligaya, Mallig, Isabela</t>
  </si>
  <si>
    <t>ZECC (4 units) - HVCDP</t>
  </si>
  <si>
    <t>Naguilian</t>
  </si>
  <si>
    <t>Concreting of Brgy La Union FMR, Brgy. La Union, Naguilian, Isabela</t>
  </si>
  <si>
    <t>Concreting of Brgy La Union to Brgy. Bagong Sikat FMR, Brgy. La Union and Brgy. Bagong Sikat,  Naguilian, Isabela</t>
  </si>
  <si>
    <t>Concreting of Brgy Sto Tomas to Brgy Placer FMR, Naguilian, Brgy Sto Tomas, Naguilian, Isabela</t>
  </si>
  <si>
    <t>Concreting of Brgy. Sto. Tomas FMR</t>
  </si>
  <si>
    <t>Concreting of Brgy. Villapaz FMR, Brgy. Villapaz, Naguilian, Isabela</t>
  </si>
  <si>
    <t>Concreting of Sitio Luna, Brgy. Flores FMR, Brgy. Flores, Naguilian, Isabela</t>
  </si>
  <si>
    <t>Rehabilitation of SPIS (1 unit) - Rice Program</t>
  </si>
  <si>
    <t>Palanan</t>
  </si>
  <si>
    <t>Concreting of Dikalaw FMR</t>
  </si>
  <si>
    <t>Ramon</t>
  </si>
  <si>
    <t>Concreting of Brgy. Burgos-Ambatali FMR, Brgy. Burgos and Brgy. Ambatali, Ramon, Isabela</t>
  </si>
  <si>
    <t>Concreting of Brgy. Pagrang-ayan FMR, Brgy. Pagrang-ayan, Ramon, Isabela</t>
  </si>
  <si>
    <t>Concreting of Brgy. Villa Beltran FMR, Brgy. Villa Beltran, Ramon, Isabela</t>
  </si>
  <si>
    <t>Concreting of Brgy. Villa Carmen FMR, Brgy. Villa Carmen, Ramon, Isabela</t>
  </si>
  <si>
    <t>Concreting of Brgy. Villa Marcos FMR</t>
  </si>
  <si>
    <t>Silo (1 unit) - Rice Program</t>
  </si>
  <si>
    <t>Reina Mercedes</t>
  </si>
  <si>
    <t>Concreting of Brgy. Banquero-Santiago FMR</t>
  </si>
  <si>
    <t>Concreting of Salucong FMR, Brgy. Salucong, Reina Mercedes, Isabela</t>
  </si>
  <si>
    <t>Hauling Truck (Cargo Truck) - CORN Program</t>
  </si>
  <si>
    <t>Roxas</t>
  </si>
  <si>
    <t>Concreting of Kabigaan-Simimbaan FMR</t>
  </si>
  <si>
    <t>Establishment of Okra Demo Farm - HVCDP Export</t>
  </si>
  <si>
    <t>Nursery (2 units) - HVCDP</t>
  </si>
  <si>
    <t>Planting Materials - HVCDP</t>
  </si>
  <si>
    <t>Screenhouse/Greenhouse (4 units) - HVCDP</t>
  </si>
  <si>
    <t>Specialized Training (Bamboo) - HVCDP</t>
  </si>
  <si>
    <t>Vegetable / Onion Sorter Facility (1 unit) - HVCDP</t>
  </si>
  <si>
    <t>San Agustin</t>
  </si>
  <si>
    <t>Concreting of Masaya Centro and Norte FMR</t>
  </si>
  <si>
    <t>San Guillermo</t>
  </si>
  <si>
    <t>Animal Hauling Trucks - LIVESTOCK Program</t>
  </si>
  <si>
    <t>Concreting of Brgy Villa Sanchez-Villa Rose FMR, Brgy Villa Sanchez and Villa Rose,  San Guillermo, Isabela</t>
  </si>
  <si>
    <t>Concreting of FMR in San Guillermo</t>
  </si>
  <si>
    <t>San Isidro</t>
  </si>
  <si>
    <t>Concreting of Brgy. Quezon FMR, Brgy. Quezon, San Isidro, Isabela</t>
  </si>
  <si>
    <t>Concreting of Brgy. Ramos East FMR, Brgy. Ramos East, San Isidro, Isabela</t>
  </si>
  <si>
    <t>Concreting of FMR in San Isidro</t>
  </si>
  <si>
    <t>Greenhouse (1 unit) - SAAD</t>
  </si>
  <si>
    <t>San Manuel</t>
  </si>
  <si>
    <t>Concreting of Alintuneg FMR</t>
  </si>
  <si>
    <t>San Mariano</t>
  </si>
  <si>
    <t>Concreting of Daragutan East-Sitio Luzon FMR</t>
  </si>
  <si>
    <t>MCDP with Shed (1 unit) - Corn Program</t>
  </si>
  <si>
    <t>Micro Tiller - 4KS Program</t>
  </si>
  <si>
    <t>Multi Crop Drying Pavement (MCDP) with Shed - CORN Program</t>
  </si>
  <si>
    <t>San Mateo</t>
  </si>
  <si>
    <t>Concreting of Brgy. Victoria FMR, Brgy. Victoria, San Mateo, Isabela</t>
  </si>
  <si>
    <t>Concreting of Brgy. Victoria-Brgy. Villa Cruz FMR, Brgy. Victoria and Brgy. Villa Cruz, San Mateo, Isabela</t>
  </si>
  <si>
    <t>Concreting of Gaddanan FMR</t>
  </si>
  <si>
    <t>Concreting of Purok 1 to Purok 4, Brgy. Malasin FMR, Brgy. Malasin, San Mateo, Isabela</t>
  </si>
  <si>
    <t>Concreting of Purok 6 to Purok 7, Brgy. Malasin FMR, Brgy. Malasin, San Mateo, Isabela</t>
  </si>
  <si>
    <t>Mungbean Harvester (8 units) - HVCDP</t>
  </si>
  <si>
    <t>Seed Sorter (8 units) - HVCDP</t>
  </si>
  <si>
    <t>San Pablo</t>
  </si>
  <si>
    <t>Concreting of Brgy. Antagan to Brgy Poblacion FMR, San Pablo, Isabela</t>
  </si>
  <si>
    <t>Concreting of Brgy. Simanu Norte FMR, Brgy. Simanu Norte, San Pablo, Isabela</t>
  </si>
  <si>
    <t>Santa Maria</t>
  </si>
  <si>
    <t>Concreting of Lingaling FMR, Brgy. Lingaling, Santa Maria. Isabela</t>
  </si>
  <si>
    <t>Rehabilitation of Naganacan SWIP (1 unit) - Rice Program</t>
  </si>
  <si>
    <t>Santiago City</t>
  </si>
  <si>
    <t>Concreting of Brgy Salvador FMR, Brgy. Salvador, Santiago City, Isabela</t>
  </si>
  <si>
    <t>Concreting of Quirat Road-Lachica Street FMR</t>
  </si>
  <si>
    <t>Concreting of Tablada Street -Vallejo, Nabbuan FMR, Brgy. Nabbuan, Santiago City, Isabela</t>
  </si>
  <si>
    <t>Mango Processing Facility (1 unit) - HVCDP</t>
  </si>
  <si>
    <t>Mungbean Harvester (1 unit) - HVCDP</t>
  </si>
  <si>
    <t>Seed Sorter (1 unit) - HVCDP</t>
  </si>
  <si>
    <t>Santo Tomas</t>
  </si>
  <si>
    <t>Concreting of Brgy. Ammugauan FMR, Brgy. Ammugauan, Santo Tomas, Isabela</t>
  </si>
  <si>
    <t>Concreting of Sitio Cabaruan to Sitio Matakayan, Brgy. Barumbong FMR, Brgy. Barumbong,  Sto. Tomas, isabela</t>
  </si>
  <si>
    <t>Tumauini</t>
  </si>
  <si>
    <t>Concreting of Brgy. Cumabao-Brgy. San Vicente FMR, Cumabao, Tumauini, Isabela</t>
  </si>
  <si>
    <t>Construction of Caligayan SPIS I (1 unit) - Rice Program</t>
  </si>
  <si>
    <t>Construction of Caligayan SPIS II (1 unit) - Rice Program</t>
  </si>
  <si>
    <t>Construction of SPIS (1 unit) - Rice Program</t>
  </si>
  <si>
    <t>Corn Complex (Phase 1) - CORN Program</t>
  </si>
  <si>
    <t>Establishment of Dragon Fruit Demo Farm - HVCDP Export</t>
  </si>
  <si>
    <t>Warehouse (2 units) - Rice Program</t>
  </si>
  <si>
    <t>Nueva Vizcaya</t>
  </si>
  <si>
    <t>Alfonso Castañeda</t>
  </si>
  <si>
    <t>Concreting of Balintogon-Diwakwak FMR</t>
  </si>
  <si>
    <t>Construction of Purok 4 FMR, Brgy Galintuja, Alfonso Castañeda, Nueva Vizcaya</t>
  </si>
  <si>
    <t>Screenhouse/Greenhouse (1 unit) - HVCDP</t>
  </si>
  <si>
    <t>ZECC (6 units) - HVCDP</t>
  </si>
  <si>
    <t>Ambaguio</t>
  </si>
  <si>
    <t>Concreting of Labbi FMR, Brgy Tiblac,  Ambaguio, Nueva Vizcaya</t>
  </si>
  <si>
    <t>Construction of Natebwek-Bacwit FMR</t>
  </si>
  <si>
    <t>Provision of Coffee Drip Irrigation System - HALAL Program</t>
  </si>
  <si>
    <t>DA-RFO2 HALAL</t>
  </si>
  <si>
    <t>Provision of Inorganic Fertilizer - HVCDP Coffee</t>
  </si>
  <si>
    <t>DA-RFO2 HVCDP Coffee</t>
  </si>
  <si>
    <t>Provision of Organic Fertilizer - HVCDP Coffee</t>
  </si>
  <si>
    <t>SDIP (1 unit) - HVCDP</t>
  </si>
  <si>
    <t>Aritao</t>
  </si>
  <si>
    <t>Concreting of Brgy. Ocao-Capiniaan FMR, Brgy. Ocao to Brgy. Capiniaan, Aritao, Nueva Vizcaya</t>
  </si>
  <si>
    <t>Concreting of Upper Baan FMR, Brgy. Upper Baan,  Aritao, Nueva Vizcaya</t>
  </si>
  <si>
    <t>Vegetable / Onion Sorter Facility (2 units) - HVCDP</t>
  </si>
  <si>
    <t>Bagabag</t>
  </si>
  <si>
    <t>Concreting of Murong (Kateppangan) - Careb FMR, Brgy. Murong, Bagabag, Nueva Vizcaya</t>
  </si>
  <si>
    <t>Hybrid Seeds (GM) - CORN Program</t>
  </si>
  <si>
    <t>Upgrading of Amballo South-Mantanibong FMR, Brgy. Baretbet, Bagabag, Nueva Vizcaya</t>
  </si>
  <si>
    <t>Bambang</t>
  </si>
  <si>
    <t>Concreting of Brgy Indiana (Kabayabasan to Purok 2) FMR, Brgy. Indiana, Bambang, Nueva Vizcaya</t>
  </si>
  <si>
    <t>Concreting of Sto Domingo West FMR, Brgy. Sto. Domingo West, Bambang, Nueva Vizcaya</t>
  </si>
  <si>
    <t>Bayombong</t>
  </si>
  <si>
    <t>Concreting of Brgy Bansing (Purok 4 to Purok 3) FMR, Bayombong, Nueva Vizcaya</t>
  </si>
  <si>
    <t>Concreting of Casat-Masoc (Perez Road) FMR, Brgy Casat, Bayombong, Nueva Vizcaya</t>
  </si>
  <si>
    <t>Solar Pump with Filter Pan (1 unit) - OAP</t>
  </si>
  <si>
    <t>Diadi</t>
  </si>
  <si>
    <t>Concreting of Guyabano Road FMR, Brgy San Pablo, Diadi, Nueva Vizcaya</t>
  </si>
  <si>
    <t>Concreting of Purok 5 (Burburnay) FMR, Brgy. Duruarog, Diadi, Nueva Vizcaya</t>
  </si>
  <si>
    <t>OPV Glutinous Corn Seeds - CORN Program</t>
  </si>
  <si>
    <t>Dupax Del Norte</t>
  </si>
  <si>
    <t>Concreting of Malasin (Accon)-Canabay FMR, Brgy. Malasin, Dupax del Norte, Nueva Vizcaya</t>
  </si>
  <si>
    <t>Concreting of Pelagio Street FMR, Brgy Inaban, Brgy. Inaban, Dupax del Norte, Nueva Vizcaya</t>
  </si>
  <si>
    <t>Knapsack Sprayer - 4KS Program</t>
  </si>
  <si>
    <t>Micro-Tiller - 4KS Program</t>
  </si>
  <si>
    <t>Dupax Del Sur</t>
  </si>
  <si>
    <t>Concreting of Brgy Mangayang (Ambueyo) FMR, Brgy. Mangayang, Dupax del Sur, Nueva Vizcaya</t>
  </si>
  <si>
    <t>Concreting of Carolotan-Dalayap-Ganao-Sanguit FMR</t>
  </si>
  <si>
    <t>Packaging House Facility / Consolidation Shed (3 units) - HVCDP</t>
  </si>
  <si>
    <t>Kasibu</t>
  </si>
  <si>
    <t>Concreting of Brgy Macalong FMR</t>
  </si>
  <si>
    <t>Concreting of Joker Section-Brgy Biyoy FMR, Brgy. Camamasi, Kasibu, Nueva Vizcaya</t>
  </si>
  <si>
    <t>Halal Product Certification Assistance - HALAL Program</t>
  </si>
  <si>
    <t>Improvement of Kapaginaan DD (1 unit) - Rice Program</t>
  </si>
  <si>
    <t>Training on Halal Compliance, Certification, and Export Requirements (Ube &amp; C - HALAL Program</t>
  </si>
  <si>
    <t>Training on Postharvest Handling - HALAL Program</t>
  </si>
  <si>
    <t>Kayapa</t>
  </si>
  <si>
    <t>Concreting of Acacia-Binalian (Padang to Centro Section) FMR, Brgy. Acacia, Kayapa, Nueva Vizcaya</t>
  </si>
  <si>
    <t>Concreting of Brgy Babadi FMR</t>
  </si>
  <si>
    <t>Santa Fe</t>
  </si>
  <si>
    <t>Concreting of Tactac-Atbu FMR</t>
  </si>
  <si>
    <t>Concreting of Villaflores to Tac-tac FMR, Brgy. Villaflores, Santa Fe, Nueva Vizcaya</t>
  </si>
  <si>
    <t>Solano</t>
  </si>
  <si>
    <t>Concreting of Brgy Quirino FMR, Brgy. Quirino, Solano, Nueva Vizcaya</t>
  </si>
  <si>
    <t>Concreting of Brgy. Wacal FMR, Wacal, Brgy. Wacal, Solano, Nueva Vizcaya</t>
  </si>
  <si>
    <t>Villaverde</t>
  </si>
  <si>
    <t>Concreting of Brgy Bintawan Sur (Lalatton to Mapaina) FMR, Villaverde, Nueva Vizcaya</t>
  </si>
  <si>
    <t>Quirino</t>
  </si>
  <si>
    <t>Aglipay</t>
  </si>
  <si>
    <t>Concreting of Brgy. San Benigno FMR, Brgy. San Benigno, Aglipay Quirino</t>
  </si>
  <si>
    <t>Concreting of Dagupan FMR, Brgy. Dagupan, Aglipay, Quirino</t>
  </si>
  <si>
    <t>Concreting of Villa Pagaduan FMR, Brgy. Villa Pagaduan, Aglipay, Quirino</t>
  </si>
  <si>
    <t>Construction of Sta Victoria-Diodol FMR</t>
  </si>
  <si>
    <t>Provision of Plant Nurseries for Propagation - HALAL Program</t>
  </si>
  <si>
    <t>Cabarroguis</t>
  </si>
  <si>
    <t>Concreting of Brgy. Villamor FMR</t>
  </si>
  <si>
    <t>Construction of Brgy. Banuar FMR, Brgy. Banuar, Cabarroguis, Quirino</t>
  </si>
  <si>
    <t>Diffun</t>
  </si>
  <si>
    <t>Concreting of Brgy Gabriela Silang FMR, Brgy. Gabriela Silang, Diffun, Quirino</t>
  </si>
  <si>
    <t>Concreting of Brgy Liwayway FMR, Brgy. Liwayway, Diffun, Quirino</t>
  </si>
  <si>
    <t>Concreting of Purok 3, Brgy Dumanisi FMR, Brgy. Dumanisi, Diffun, Quirino</t>
  </si>
  <si>
    <t>Concreting of Sitio Dulay Bannawag FMR</t>
  </si>
  <si>
    <t>Establishment of Ube Powder Processing Facility - HALAL Program</t>
  </si>
  <si>
    <t>Production of Quality Ube Planting Materials - HALAL Program</t>
  </si>
  <si>
    <t>Provision of Organic Fertilizer (for expansion of ube production) - HALAL Program</t>
  </si>
  <si>
    <t>Two-Row seeder - CORN Program</t>
  </si>
  <si>
    <t>Maddela</t>
  </si>
  <si>
    <t>Concreting of Brgy. Cabaruan FMR, Brgy. Cabaruan,  Maddela, Quirino</t>
  </si>
  <si>
    <t>Concreting of P1-P2, Brgy. Cabua-an FMR, Brgy. Cabua-an, Maddela, Quirino</t>
  </si>
  <si>
    <t>Concreting of P4-P5, Brgy. Cabua-an FMR, Brgy. Cabua-an, Maddela, Quirino</t>
  </si>
  <si>
    <t>Concreting of P7 Brgy, Balligui FMR, Brgy. Balligui, Maddela, Quirino,</t>
  </si>
  <si>
    <t>Construction of Purok 4-5 Cabua-an FMR</t>
  </si>
  <si>
    <t>Nagtipunan</t>
  </si>
  <si>
    <t>Concreting of Brgy Ricarte Norte and Dissimungal FMR</t>
  </si>
  <si>
    <t>Construction of Brgy. Mataddi FMR, Brgy. Mataddi, Nagtipunan, Quirino</t>
  </si>
  <si>
    <t>Construction of Brgy. Matmad FMR, Brgy. Matmad, Nagtipunan, Quirino</t>
  </si>
  <si>
    <t>Garden Tools - 4K Program</t>
  </si>
  <si>
    <t>DA-RFO2 4K</t>
  </si>
  <si>
    <t>GM Hybrid Corn Seeds - 4K Program</t>
  </si>
  <si>
    <t>Grass Cutter - 4K Program</t>
  </si>
  <si>
    <t>Knapsack - 4K Program</t>
  </si>
  <si>
    <t>Lowland Vegetables - 4K Program</t>
  </si>
  <si>
    <t>Open Source Pumping Set - 4K Program</t>
  </si>
  <si>
    <t>Organic Fertilizer - 4K Program</t>
  </si>
  <si>
    <t>Sustainable Land Management in Corn-based Sloping Areas (SLM-Corn) - CORN</t>
  </si>
  <si>
    <t>Sustainable Land Resources Management Approach (SLM-Corn) - CORN Program</t>
  </si>
  <si>
    <t>Ube Planting Materials - 4K Program</t>
  </si>
  <si>
    <t>Upland Vegetables - 4K Program</t>
  </si>
  <si>
    <t>Saguday</t>
  </si>
  <si>
    <t>Concreting of Brgy. Cardenas (Saguday Eco Park) to Brgy. Balagbag FMR, Brgy. Cardenas and Brgy. Balagbag, Saguday, Quirino</t>
  </si>
  <si>
    <t>Concreting of Brgy. Magsaysay-Brgy. Rizal- Brgy. Tres Reyes-Brgy. Sto. Tomas FMR, Brgy. Magsaysay-Brgy. Rizal- Brgy. Tres Reyes-Brgy. Sto. Tomas, Saguday, Quirino</t>
  </si>
  <si>
    <t>Concreting of Brgy. Rizal-Brgy. Magsaysay-  Brgy. Mangandingay FMR, Brgy. Brgy. Rizal-Brgy. Magsaysay-  Brgy. Mangandingay, Saguday, Quirino</t>
  </si>
  <si>
    <t>Concreting of Cardenas-LGU Sanitary Land Fill-Lutuad FMR, Brgy. Cardenas to Brgy. Luttuad, Saguday, Qurino</t>
  </si>
  <si>
    <t>Concreting of Magsaysay-Gamis Phase II FMR, Brgy. Magsaysay and Brgy. Gamis, Saguday, Quirino</t>
  </si>
  <si>
    <t>Concreting of Purok 2-Loacan FMR, Brgy. Dibibi, Cabarroguis, Quirino</t>
  </si>
  <si>
    <t>Concreting of Rizal-La Paz-Bannawag FMR</t>
  </si>
  <si>
    <t>Concreting of Salvacion-Sta. Rosa FMR, Brgy. Salvacion to Brgy. Sta. Rosa, Saguday, Quirino</t>
  </si>
  <si>
    <t>Note: Corn Program figures not yet final due to not yet disaggregated by Municipality</t>
  </si>
  <si>
    <t>Indicative Geographic Targeting of FY 2027 Budget Proposals - per Commodity/ Industry</t>
  </si>
  <si>
    <t>LGU-Identified Commodity for Co-Investment (2026 MAFIF &amp; Meeting with Mindanao LCEs)</t>
  </si>
  <si>
    <t>DA OU's FY 2027 Proposed Allocation corresponding to the commodity/ industry in column 4 (if any)</t>
  </si>
  <si>
    <t>Additional FY 2027 commodity entry of the DA OU (if not reflected in Column 4)
(specify the commodity)</t>
  </si>
  <si>
    <t>DA OU's FY 2027 Proposed Allocation corresponding to the commodity entry in Column 7 (if any)</t>
  </si>
  <si>
    <t>[not specified]</t>
  </si>
  <si>
    <t>Poultry</t>
  </si>
  <si>
    <t>Farm-to-Market Road</t>
  </si>
  <si>
    <t>High Value Crops (Vegetables/Fruits/Rootcrops)</t>
  </si>
  <si>
    <t>Various Commodities (SAAD)</t>
  </si>
  <si>
    <t>Rice</t>
  </si>
  <si>
    <t>Vegetables - Garlic</t>
  </si>
  <si>
    <t>Banana</t>
  </si>
  <si>
    <t>Cattle</t>
  </si>
  <si>
    <t>Sweet Potato</t>
  </si>
  <si>
    <t>Aquaculture and Fisheries</t>
  </si>
  <si>
    <t>Swine</t>
  </si>
  <si>
    <t>Vegetables</t>
  </si>
  <si>
    <t>Corn</t>
  </si>
  <si>
    <t>Livestock (Cattle/Carabao/Swine/Poultry)</t>
  </si>
  <si>
    <t>High Value Export Crops (Dragon Fruit/Ube/Okra/Banana)</t>
  </si>
  <si>
    <t>Various Commodities (4Ks)</t>
  </si>
  <si>
    <t>Vegetables (NUPAP/Urban Agri)</t>
  </si>
  <si>
    <t>Organic Agriculture</t>
  </si>
  <si>
    <t>Coffee (HVCDP)</t>
  </si>
  <si>
    <t>Halal Food Products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</si>
</sst>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_-* #,##0.0_-;\-* #,##0.0_-;_-* &quot;-&quot;??_-;_-@_-"/>
  </numFmts>
  <fonts count="33">
    <font>
      <sz val="11"/>
      <color rgb="FF000000"/>
      <name val="Arial"/>
      <charset val="134"/>
      <scheme val="minor"/>
    </font>
    <font>
      <b/>
      <sz val="12"/>
      <color rgb="FF000000"/>
      <name val="Roboto"/>
      <charset val="134"/>
    </font>
    <font>
      <sz val="11"/>
      <color rgb="FF000000"/>
      <name val="Roboto"/>
      <charset val="134"/>
    </font>
    <font>
      <u/>
      <sz val="11"/>
      <color rgb="FFFF0000"/>
      <name val="Roboto"/>
      <charset val="134"/>
    </font>
    <font>
      <b/>
      <sz val="14"/>
      <color rgb="FF3333FF"/>
      <name val="Roboto"/>
      <charset val="134"/>
    </font>
    <font>
      <b/>
      <sz val="11"/>
      <color rgb="FFFFFFFF"/>
      <name val="Roboto"/>
      <charset val="134"/>
    </font>
    <font>
      <b/>
      <sz val="10"/>
      <color rgb="FFFFFF00"/>
      <name val="Roboto"/>
      <charset val="134"/>
    </font>
    <font>
      <b/>
      <sz val="10"/>
      <color theme="0"/>
      <name val="Roboto"/>
      <charset val="134"/>
    </font>
    <font>
      <sz val="11"/>
      <color theme="1"/>
      <name val="Roboto"/>
      <charset val="134"/>
    </font>
    <font>
      <b/>
      <sz val="11"/>
      <name val="Roboto"/>
      <charset val="134"/>
    </font>
    <font>
      <sz val="11"/>
      <color theme="1"/>
      <name val="Arial"/>
      <charset val="134"/>
      <scheme val="minor"/>
    </font>
    <font>
      <sz val="11"/>
      <color rgb="FF000000"/>
      <name val="Arial"/>
      <charset val="134"/>
    </font>
    <font>
      <i/>
      <sz val="9"/>
      <color rgb="FFFF0000"/>
      <name val="Arial"/>
      <charset val="134"/>
      <scheme val="minor"/>
    </font>
    <font>
      <b/>
      <sz val="11"/>
      <color theme="0"/>
      <name val="Roboto"/>
      <charset val="134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8761D"/>
        <bgColor rgb="FF38761D"/>
      </patternFill>
    </fill>
    <fill>
      <patternFill patternType="solid">
        <fgColor rgb="FF31859B"/>
        <bgColor rgb="FF31859B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>
      <alignment vertical="center"/>
    </xf>
    <xf numFmtId="44" fontId="10" fillId="0" borderId="0">
      <alignment vertical="center"/>
    </xf>
    <xf numFmtId="9" fontId="10" fillId="0" borderId="0">
      <alignment vertical="center"/>
    </xf>
    <xf numFmtId="41" fontId="10" fillId="0" borderId="0">
      <alignment vertical="center"/>
    </xf>
    <xf numFmtId="42" fontId="10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0" fillId="4" borderId="7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8">
      <alignment vertical="center"/>
    </xf>
    <xf numFmtId="0" fontId="20" fillId="0" borderId="8">
      <alignment vertical="center"/>
    </xf>
    <xf numFmtId="0" fontId="21" fillId="0" borderId="9">
      <alignment vertical="center"/>
    </xf>
    <xf numFmtId="0" fontId="21" fillId="0" borderId="0">
      <alignment vertical="center"/>
    </xf>
    <xf numFmtId="0" fontId="22" fillId="5" borderId="10">
      <alignment vertical="center"/>
    </xf>
    <xf numFmtId="0" fontId="23" fillId="6" borderId="11">
      <alignment vertical="center"/>
    </xf>
    <xf numFmtId="0" fontId="24" fillId="6" borderId="10">
      <alignment vertical="center"/>
    </xf>
    <xf numFmtId="0" fontId="25" fillId="7" borderId="12">
      <alignment vertical="center"/>
    </xf>
    <xf numFmtId="0" fontId="26" fillId="0" borderId="13">
      <alignment vertical="center"/>
    </xf>
    <xf numFmtId="0" fontId="27" fillId="0" borderId="14">
      <alignment vertical="center"/>
    </xf>
    <xf numFmtId="0" fontId="28" fillId="8" borderId="0">
      <alignment vertical="center"/>
    </xf>
    <xf numFmtId="0" fontId="29" fillId="9" borderId="0">
      <alignment vertical="center"/>
    </xf>
    <xf numFmtId="0" fontId="30" fillId="10" borderId="0">
      <alignment vertical="center"/>
    </xf>
    <xf numFmtId="0" fontId="31" fillId="11" borderId="0">
      <alignment vertical="center"/>
    </xf>
    <xf numFmtId="0" fontId="32" fillId="12" borderId="0">
      <alignment vertical="center"/>
    </xf>
    <xf numFmtId="0" fontId="32" fillId="13" borderId="0">
      <alignment vertical="center"/>
    </xf>
    <xf numFmtId="0" fontId="31" fillId="14" borderId="0">
      <alignment vertical="center"/>
    </xf>
    <xf numFmtId="0" fontId="31" fillId="15" borderId="0">
      <alignment vertical="center"/>
    </xf>
    <xf numFmtId="0" fontId="32" fillId="16" borderId="0">
      <alignment vertical="center"/>
    </xf>
    <xf numFmtId="0" fontId="32" fillId="17" borderId="0">
      <alignment vertical="center"/>
    </xf>
    <xf numFmtId="0" fontId="31" fillId="18" borderId="0">
      <alignment vertical="center"/>
    </xf>
    <xf numFmtId="0" fontId="31" fillId="19" borderId="0">
      <alignment vertical="center"/>
    </xf>
    <xf numFmtId="0" fontId="32" fillId="20" borderId="0">
      <alignment vertical="center"/>
    </xf>
    <xf numFmtId="0" fontId="32" fillId="21" borderId="0">
      <alignment vertical="center"/>
    </xf>
    <xf numFmtId="0" fontId="31" fillId="22" borderId="0">
      <alignment vertical="center"/>
    </xf>
    <xf numFmtId="0" fontId="31" fillId="23" borderId="0">
      <alignment vertical="center"/>
    </xf>
    <xf numFmtId="0" fontId="32" fillId="24" borderId="0">
      <alignment vertical="center"/>
    </xf>
    <xf numFmtId="0" fontId="32" fillId="25" borderId="0">
      <alignment vertical="center"/>
    </xf>
    <xf numFmtId="0" fontId="31" fillId="26" borderId="0">
      <alignment vertical="center"/>
    </xf>
    <xf numFmtId="0" fontId="31" fillId="27" borderId="0">
      <alignment vertical="center"/>
    </xf>
    <xf numFmtId="0" fontId="32" fillId="28" borderId="0">
      <alignment vertical="center"/>
    </xf>
    <xf numFmtId="0" fontId="32" fillId="29" borderId="0">
      <alignment vertical="center"/>
    </xf>
    <xf numFmtId="0" fontId="31" fillId="30" borderId="0">
      <alignment vertical="center"/>
    </xf>
    <xf numFmtId="0" fontId="31" fillId="31" borderId="0">
      <alignment vertical="center"/>
    </xf>
    <xf numFmtId="0" fontId="32" fillId="32" borderId="0">
      <alignment vertical="center"/>
    </xf>
    <xf numFmtId="0" fontId="32" fillId="33" borderId="0">
      <alignment vertical="center"/>
    </xf>
    <xf numFmtId="0" fontId="31" fillId="34" borderId="0">
      <alignment vertical="center"/>
    </xf>
  </cellStyleXfs>
  <cellXfs count="34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/>
    </xf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6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8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176" fontId="10" fillId="0" borderId="1" xfId="1" applyNumberFormat="1" applyBorder="1" applyAlignment="1">
      <alignment vertical="center"/>
    </xf>
    <xf numFmtId="0" fontId="11" fillId="0" borderId="1" xfId="0" applyBorder="1" applyAlignment="1">
      <alignment wrapText="1"/>
    </xf>
    <xf numFmtId="0" fontId="11" fillId="0" borderId="1" xfId="0" applyBorder="1"/>
    <xf numFmtId="0" fontId="11" fillId="0" borderId="3" xfId="0" applyBorder="1" applyAlignment="1">
      <alignment wrapText="1"/>
    </xf>
    <xf numFmtId="4" fontId="11" fillId="0" borderId="4" xfId="0" applyNumberFormat="1" applyBorder="1" applyAlignment="1">
      <alignment wrapText="1"/>
    </xf>
    <xf numFmtId="176" fontId="10" fillId="0" borderId="5" xfId="1" applyNumberFormat="1" applyBorder="1" applyAlignment="1">
      <alignment vertical="center"/>
    </xf>
    <xf numFmtId="176" fontId="10" fillId="0" borderId="6" xfId="1" applyNumberFormat="1" applyBorder="1" applyAlignment="1">
      <alignment vertical="center"/>
    </xf>
    <xf numFmtId="176" fontId="10" fillId="0" borderId="5" xfId="1" applyNumberFormat="1" applyBorder="1" applyAlignment="1">
      <alignment vertical="center"/>
    </xf>
    <xf numFmtId="176" fontId="10" fillId="0" borderId="6" xfId="1" applyNumberFormat="1" applyBorder="1" applyAlignment="1">
      <alignment vertical="center"/>
    </xf>
    <xf numFmtId="4" fontId="10" fillId="0" borderId="5" xfId="1" applyNumberFormat="1" applyBorder="1" applyAlignment="1">
      <alignment vertical="center"/>
    </xf>
    <xf numFmtId="4" fontId="10" fillId="0" borderId="6" xfId="1" applyNumberFormat="1" applyBorder="1" applyAlignment="1">
      <alignment vertical="center"/>
    </xf>
    <xf numFmtId="0" fontId="12" fillId="0" borderId="0" xfId="0" applyFont="1"/>
    <xf numFmtId="0" fontId="2" fillId="0" borderId="0" xfId="0" applyFont="1" applyAlignment="1">
      <alignment vertical="top" wrapText="1"/>
    </xf>
    <xf numFmtId="0" fontId="1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left" vertical="top" wrapText="1"/>
    </xf>
    <xf numFmtId="176" fontId="10" fillId="0" borderId="3" xfId="1" applyNumberFormat="1" applyBorder="1" applyAlignment="1">
      <alignment vertical="center"/>
    </xf>
    <xf numFmtId="176" fontId="10" fillId="0" borderId="4" xfId="1" applyNumberFormat="1" applyBorder="1" applyAlignment="1">
      <alignment vertical="center"/>
    </xf>
    <xf numFmtId="4" fontId="2" fillId="0" borderId="1" xfId="0" applyNumberFormat="1" applyFont="1" applyBorder="1" applyAlignment="1">
      <alignment vertical="top" wrapText="1"/>
    </xf>
    <xf numFmtId="0" fontId="5" fillId="2" borderId="1" xfId="0" applyFont="1" applyFill="1" applyBorder="1" applyAlignment="1" quotePrefix="1">
      <alignment horizontal="center" vertical="top" wrapText="1"/>
    </xf>
    <xf numFmtId="0" fontId="5" fillId="3" borderId="1" xfId="0" applyFont="1" applyFill="1" applyBorder="1" applyAlignment="1" quotePrefix="1">
      <alignment horizontal="center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267"/>
  <sheetViews>
    <sheetView tabSelected="1" workbookViewId="0">
      <pane xSplit="4" ySplit="9" topLeftCell="E30" activePane="bottomRight" state="frozen"/>
      <selection/>
      <selection pane="topRight"/>
      <selection pane="bottomLeft"/>
      <selection pane="bottomRight" activeCell="C17" sqref="C17"/>
    </sheetView>
  </sheetViews>
  <sheetFormatPr defaultColWidth="12.6333333333333" defaultRowHeight="15" customHeight="1"/>
  <cols>
    <col min="1" max="1" width="10.75" customWidth="1"/>
    <col min="2" max="2" width="16.125" customWidth="1"/>
    <col min="3" max="3" width="15.75" customWidth="1"/>
    <col min="4" max="4" width="34.25" customWidth="1"/>
    <col min="5" max="6" width="19.3833333333333" customWidth="1"/>
    <col min="7" max="7" width="25.75" customWidth="1"/>
    <col min="8" max="8" width="18.125" customWidth="1"/>
    <col min="9" max="9" width="18.5" customWidth="1"/>
    <col min="10" max="10" width="32.375" customWidth="1"/>
    <col min="11" max="26" width="8.63333333333333" customWidth="1"/>
    <col min="27" max="27" width="13" hidden="1" customWidth="1"/>
  </cols>
  <sheetData>
    <row r="1" ht="14.25" customHeight="1" spans="1:27">
      <c r="A1" s="1" t="s">
        <v>0</v>
      </c>
      <c r="B1" s="26"/>
      <c r="C1" s="26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 spans="1:27">
      <c r="A2" s="1" t="s">
        <v>1</v>
      </c>
      <c r="B2" s="26"/>
      <c r="C2" s="26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 spans="1:27">
      <c r="A3" s="3" t="s">
        <v>2</v>
      </c>
      <c r="B3" s="26"/>
      <c r="C3" s="26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 spans="1:27">
      <c r="A4" s="4"/>
      <c r="B4" s="26"/>
      <c r="C4" s="26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 spans="1:27">
      <c r="A5" s="4" t="s">
        <v>3</v>
      </c>
      <c r="B5" s="26"/>
      <c r="C5" s="26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6" customHeight="1" spans="1:27">
      <c r="A6" s="4"/>
      <c r="B6" s="26"/>
      <c r="C6" s="26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54" customHeight="1" spans="1:27">
      <c r="A7" s="5" t="s">
        <v>4</v>
      </c>
      <c r="B7" s="5" t="s">
        <v>5</v>
      </c>
      <c r="C7" s="5" t="s">
        <v>6</v>
      </c>
      <c r="D7" s="5" t="s">
        <v>7</v>
      </c>
      <c r="E7" s="5" t="s">
        <v>8</v>
      </c>
      <c r="F7" s="6"/>
      <c r="G7" s="7" t="s">
        <v>9</v>
      </c>
      <c r="H7" s="8" t="s">
        <v>10</v>
      </c>
      <c r="I7" s="6"/>
      <c r="J7" s="27" t="s">
        <v>11</v>
      </c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ht="14.25" customHeight="1" spans="1:27">
      <c r="A8" s="10"/>
      <c r="B8" s="10"/>
      <c r="C8" s="10"/>
      <c r="D8" s="10"/>
      <c r="E8" s="10" t="s">
        <v>12</v>
      </c>
      <c r="F8" s="10" t="s">
        <v>13</v>
      </c>
      <c r="G8" s="11"/>
      <c r="H8" s="11" t="s">
        <v>12</v>
      </c>
      <c r="I8" s="11" t="s">
        <v>13</v>
      </c>
      <c r="J8" s="10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 spans="1:27">
      <c r="A9" s="34" t="s">
        <v>14</v>
      </c>
      <c r="B9" s="34" t="s">
        <v>15</v>
      </c>
      <c r="C9" s="34" t="s">
        <v>16</v>
      </c>
      <c r="D9" s="34" t="s">
        <v>17</v>
      </c>
      <c r="E9" s="34" t="s">
        <v>18</v>
      </c>
      <c r="F9" s="34" t="s">
        <v>19</v>
      </c>
      <c r="G9" s="35" t="s">
        <v>20</v>
      </c>
      <c r="H9" s="35" t="s">
        <v>21</v>
      </c>
      <c r="I9" s="35" t="s">
        <v>22</v>
      </c>
      <c r="J9" s="34" t="s">
        <v>23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34" t="s">
        <v>24</v>
      </c>
    </row>
    <row r="10" ht="30" customHeight="1" spans="1:27">
      <c r="A10" s="29" t="s">
        <v>25</v>
      </c>
      <c r="B10" s="29" t="s">
        <v>26</v>
      </c>
      <c r="C10" s="13" t="s">
        <v>27</v>
      </c>
      <c r="D10" s="30" t="s">
        <v>28</v>
      </c>
      <c r="E10" s="31"/>
      <c r="F10" s="32">
        <v>19500</v>
      </c>
      <c r="G10" s="29"/>
      <c r="H10" s="29"/>
      <c r="I10" s="29"/>
      <c r="J10" s="29" t="s">
        <v>29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t="str">
        <f t="shared" ref="AA10:AA73" si="0">_xlfn.IFS(J10="DA-FMRDP","Farm-to-Market Road",J10="DA-RFO2 RICE","Rice",J10="DA-RFO2 Rice Program","Rice",J10="DA-RFO2 CORN","Corn",J10="DA-RFO2 Corn Program","Corn",J10="DA-RFO2 HVCDP","High Value Crops (Vegetables/Fruits/Rootcrops)",J10="DA-RFO2 HVCDP Export","High Value Export Crops (Dragon Fruit/Ube/Okra/Banana)",J10="DA-RFO2 HVCDP Coffee","Coffee (HVCDP)",J10="DA-RFO2 LIVESTOCK","Livestock (Cattle/Carabao/Swine/Poultry)",J10="DA-RFO2 SAAD","Various Commodities (SAAD)",J10="DA-RFO2 4K","Various Commodities (4Ks)",J10="DA-RFO2 4KS","Various Commodities (4Ks)",J10="DA-RFO2 HALAL","Halal Food Products",J10="DA-RFO2 OAP","Organic Agriculture",J10="DA-RFO2 NUPAP","Vegetables (NUPAP/Urban Agri)",TRUE,IF(ISNUMBER(SEARCH("FMR",D10)),"Farm-to-Market Road",IF(ISNUMBER(SEARCH("RICE",D10)),"Rice",IF(ISNUMBER(SEARCH("CORN",D10)),"Corn",IF(ISNUMBER(SEARCH("HVCDP COFFEE",D10)),"Coffee (HVCDP)",IF(ISNUMBER(SEARCH("HVCDP EXPORT",D10)),"High Value Export Crops (Dragon Fruit/Ube/Okra/Banana)",IF(ISNUMBER(SEARCH("HVCDP",D10)),"High Value Crops (Vegetables/Fruits/Rootcrops)",IF(ISNUMBER(SEARCH("LIVESTOCK",D10)),"Livestock (Cattle/Carabao/Swine/Poultry)",IF(ISNUMBER(SEARCH("SAAD",D10)),"Various Commodities (SAAD)",IF(ISNUMBER(SEARCH("4KS",D10)),"Various Commodities (4Ks)",IF(ISNUMBER(SEARCH("4K",D10)),"Various Commodities (4Ks)",IF(ISNUMBER(SEARCH("HALAL",D10)),"Halal Food Products",IF(ISNUMBER(SEARCH("OAP",D10)),"Organic Agriculture",IF(ISNUMBER(SEARCH("NUPAP",D10)),"Vegetables (NUPAP/Urban Agri)",""))))))))))))))</f>
        <v>Farm-to-Market Road</v>
      </c>
    </row>
    <row r="11" ht="30" customHeight="1" spans="1:27">
      <c r="A11" s="29" t="s">
        <v>25</v>
      </c>
      <c r="B11" s="29" t="s">
        <v>26</v>
      </c>
      <c r="C11" s="13" t="s">
        <v>27</v>
      </c>
      <c r="D11" s="30" t="s">
        <v>30</v>
      </c>
      <c r="E11" s="19"/>
      <c r="F11" s="20">
        <v>21500</v>
      </c>
      <c r="G11" s="29"/>
      <c r="H11" s="29"/>
      <c r="I11" s="29"/>
      <c r="J11" s="29" t="s">
        <v>29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t="str">
        <f t="shared" si="0"/>
        <v>Farm-to-Market Road</v>
      </c>
    </row>
    <row r="12" ht="25" customHeight="1" spans="1:27">
      <c r="A12" s="29" t="s">
        <v>25</v>
      </c>
      <c r="B12" s="29" t="s">
        <v>26</v>
      </c>
      <c r="C12" s="13" t="s">
        <v>27</v>
      </c>
      <c r="D12" s="30" t="s">
        <v>31</v>
      </c>
      <c r="E12" s="19">
        <v>32500</v>
      </c>
      <c r="F12" s="20"/>
      <c r="G12" s="29"/>
      <c r="H12" s="29"/>
      <c r="I12" s="29"/>
      <c r="J12" s="29" t="s">
        <v>29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t="str">
        <f t="shared" si="0"/>
        <v>Farm-to-Market Road</v>
      </c>
    </row>
    <row r="13" ht="18" customHeight="1" spans="1:27">
      <c r="A13" s="29" t="s">
        <v>25</v>
      </c>
      <c r="B13" s="29" t="s">
        <v>26</v>
      </c>
      <c r="C13" s="13" t="s">
        <v>27</v>
      </c>
      <c r="D13" s="29" t="s">
        <v>32</v>
      </c>
      <c r="E13" s="19">
        <v>1555</v>
      </c>
      <c r="F13" s="20"/>
      <c r="G13" s="29"/>
      <c r="H13" s="33"/>
      <c r="I13" s="29"/>
      <c r="J13" s="29" t="s">
        <v>33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t="str">
        <f t="shared" si="0"/>
        <v>Various Commodities (SAAD)</v>
      </c>
    </row>
    <row r="14" spans="1:27">
      <c r="A14" s="29" t="s">
        <v>25</v>
      </c>
      <c r="B14" s="29" t="s">
        <v>26</v>
      </c>
      <c r="C14" s="13" t="s">
        <v>27</v>
      </c>
      <c r="D14" s="29" t="s">
        <v>34</v>
      </c>
      <c r="E14" s="19">
        <v>120</v>
      </c>
      <c r="F14" s="20"/>
      <c r="G14" s="29"/>
      <c r="H14" s="33"/>
      <c r="I14" s="29"/>
      <c r="J14" s="29" t="s">
        <v>35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t="str">
        <f t="shared" si="0"/>
        <v>High Value Crops (Vegetables/Fruits/Rootcrops)</v>
      </c>
    </row>
    <row r="15" spans="1:27">
      <c r="A15" s="29" t="s">
        <v>25</v>
      </c>
      <c r="B15" s="29" t="s">
        <v>26</v>
      </c>
      <c r="C15" s="13" t="s">
        <v>27</v>
      </c>
      <c r="D15" s="29" t="s">
        <v>36</v>
      </c>
      <c r="E15" s="19">
        <v>7000</v>
      </c>
      <c r="F15" s="20"/>
      <c r="G15" s="29"/>
      <c r="H15" s="33"/>
      <c r="I15" s="29"/>
      <c r="J15" s="29" t="s">
        <v>35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t="str">
        <f t="shared" si="0"/>
        <v>High Value Crops (Vegetables/Fruits/Rootcrops)</v>
      </c>
    </row>
    <row r="16" ht="30" customHeight="1" spans="1:27">
      <c r="A16" s="29" t="s">
        <v>25</v>
      </c>
      <c r="B16" s="29" t="s">
        <v>26</v>
      </c>
      <c r="C16" s="13" t="s">
        <v>37</v>
      </c>
      <c r="D16" s="30" t="s">
        <v>38</v>
      </c>
      <c r="E16" s="19"/>
      <c r="F16" s="20"/>
      <c r="G16" s="29"/>
      <c r="H16" s="29"/>
      <c r="I16" s="29"/>
      <c r="J16" s="29" t="s">
        <v>39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t="str">
        <f t="shared" si="0"/>
        <v/>
      </c>
    </row>
    <row r="17" ht="30" customHeight="1" spans="1:27">
      <c r="A17" s="29" t="s">
        <v>25</v>
      </c>
      <c r="B17" s="29" t="s">
        <v>26</v>
      </c>
      <c r="C17" s="13" t="s">
        <v>37</v>
      </c>
      <c r="D17" s="30" t="s">
        <v>40</v>
      </c>
      <c r="E17" s="19"/>
      <c r="F17" s="20">
        <v>23400</v>
      </c>
      <c r="G17" s="29"/>
      <c r="H17" s="29"/>
      <c r="I17" s="29"/>
      <c r="J17" s="29" t="s">
        <v>29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t="str">
        <f t="shared" si="0"/>
        <v>Farm-to-Market Road</v>
      </c>
    </row>
    <row r="18" ht="30" customHeight="1" spans="1:27">
      <c r="A18" s="29" t="s">
        <v>25</v>
      </c>
      <c r="B18" s="29" t="s">
        <v>26</v>
      </c>
      <c r="C18" s="13" t="s">
        <v>37</v>
      </c>
      <c r="D18" s="30" t="s">
        <v>41</v>
      </c>
      <c r="E18" s="19"/>
      <c r="F18" s="20">
        <v>25700</v>
      </c>
      <c r="G18" s="29"/>
      <c r="H18" s="29"/>
      <c r="I18" s="29"/>
      <c r="J18" s="29" t="s">
        <v>29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t="str">
        <f t="shared" si="0"/>
        <v>Farm-to-Market Road</v>
      </c>
    </row>
    <row r="19" ht="45" customHeight="1" spans="1:27">
      <c r="A19" s="29" t="s">
        <v>25</v>
      </c>
      <c r="B19" s="29" t="s">
        <v>26</v>
      </c>
      <c r="C19" s="13" t="s">
        <v>37</v>
      </c>
      <c r="D19" s="30" t="s">
        <v>31</v>
      </c>
      <c r="E19" s="19">
        <v>35000</v>
      </c>
      <c r="F19" s="20"/>
      <c r="G19" s="29"/>
      <c r="H19" s="29"/>
      <c r="I19" s="29"/>
      <c r="J19" s="29" t="s">
        <v>29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t="str">
        <f t="shared" si="0"/>
        <v>Farm-to-Market Road</v>
      </c>
    </row>
    <row r="20" ht="30" spans="1:27">
      <c r="A20" s="29" t="s">
        <v>25</v>
      </c>
      <c r="B20" s="29" t="s">
        <v>26</v>
      </c>
      <c r="C20" s="13" t="s">
        <v>37</v>
      </c>
      <c r="D20" s="29" t="s">
        <v>32</v>
      </c>
      <c r="E20" s="19">
        <v>1555</v>
      </c>
      <c r="F20" s="20"/>
      <c r="G20" s="29"/>
      <c r="H20" s="33"/>
      <c r="I20" s="29"/>
      <c r="J20" s="29" t="s">
        <v>33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t="str">
        <f t="shared" si="0"/>
        <v>Various Commodities (SAAD)</v>
      </c>
    </row>
    <row r="21" ht="30" customHeight="1" spans="1:27">
      <c r="A21" s="29" t="s">
        <v>25</v>
      </c>
      <c r="B21" s="29" t="s">
        <v>26</v>
      </c>
      <c r="C21" s="13" t="s">
        <v>37</v>
      </c>
      <c r="D21" s="29" t="s">
        <v>34</v>
      </c>
      <c r="E21" s="19">
        <v>120</v>
      </c>
      <c r="F21" s="20"/>
      <c r="G21" s="29"/>
      <c r="H21" s="33"/>
      <c r="I21" s="29"/>
      <c r="J21" s="29" t="s">
        <v>35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t="str">
        <f t="shared" si="0"/>
        <v>High Value Crops (Vegetables/Fruits/Rootcrops)</v>
      </c>
    </row>
    <row r="22" ht="30" customHeight="1" spans="1:27">
      <c r="A22" s="29" t="s">
        <v>25</v>
      </c>
      <c r="B22" s="29" t="s">
        <v>26</v>
      </c>
      <c r="C22" s="13" t="s">
        <v>37</v>
      </c>
      <c r="D22" s="30" t="s">
        <v>42</v>
      </c>
      <c r="E22" s="19"/>
      <c r="F22" s="20"/>
      <c r="G22" s="29"/>
      <c r="H22" s="29"/>
      <c r="I22" s="29"/>
      <c r="J22" s="29" t="s">
        <v>39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t="str">
        <f t="shared" si="0"/>
        <v/>
      </c>
    </row>
    <row r="23" ht="30" customHeight="1" spans="1:27">
      <c r="A23" s="29" t="s">
        <v>25</v>
      </c>
      <c r="B23" s="29" t="s">
        <v>26</v>
      </c>
      <c r="C23" s="13" t="s">
        <v>37</v>
      </c>
      <c r="D23" s="30" t="s">
        <v>43</v>
      </c>
      <c r="E23" s="19"/>
      <c r="F23" s="20"/>
      <c r="G23" s="29"/>
      <c r="H23" s="29"/>
      <c r="I23" s="29"/>
      <c r="J23" s="29" t="s">
        <v>39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t="str">
        <f t="shared" si="0"/>
        <v>Rice</v>
      </c>
    </row>
    <row r="24" spans="1:27">
      <c r="A24" s="29" t="s">
        <v>25</v>
      </c>
      <c r="B24" s="29" t="s">
        <v>26</v>
      </c>
      <c r="C24" s="13" t="s">
        <v>37</v>
      </c>
      <c r="D24" s="29" t="s">
        <v>36</v>
      </c>
      <c r="E24" s="19">
        <v>7000</v>
      </c>
      <c r="F24" s="20"/>
      <c r="G24" s="29"/>
      <c r="H24" s="33"/>
      <c r="I24" s="29"/>
      <c r="J24" s="29" t="s">
        <v>35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t="str">
        <f t="shared" si="0"/>
        <v>High Value Crops (Vegetables/Fruits/Rootcrops)</v>
      </c>
    </row>
    <row r="25" ht="30" customHeight="1" spans="1:27">
      <c r="A25" s="29" t="s">
        <v>25</v>
      </c>
      <c r="B25" s="29" t="s">
        <v>26</v>
      </c>
      <c r="C25" s="13" t="s">
        <v>44</v>
      </c>
      <c r="D25" s="30" t="s">
        <v>45</v>
      </c>
      <c r="E25" s="19"/>
      <c r="F25" s="20">
        <v>48000</v>
      </c>
      <c r="G25" s="29"/>
      <c r="H25" s="29"/>
      <c r="I25" s="29"/>
      <c r="J25" s="29" t="s">
        <v>29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t="str">
        <f t="shared" si="0"/>
        <v>Farm-to-Market Road</v>
      </c>
    </row>
    <row r="26" ht="45" customHeight="1" spans="1:27">
      <c r="A26" s="29" t="s">
        <v>25</v>
      </c>
      <c r="B26" s="29" t="s">
        <v>26</v>
      </c>
      <c r="C26" s="13" t="s">
        <v>44</v>
      </c>
      <c r="D26" s="30" t="s">
        <v>46</v>
      </c>
      <c r="E26" s="19"/>
      <c r="F26" s="20">
        <v>39120</v>
      </c>
      <c r="G26" s="29"/>
      <c r="H26" s="29"/>
      <c r="I26" s="29"/>
      <c r="J26" s="29" t="s">
        <v>29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t="str">
        <f t="shared" si="0"/>
        <v>Farm-to-Market Road</v>
      </c>
    </row>
    <row r="27" ht="30" customHeight="1" spans="1:27">
      <c r="A27" s="29" t="s">
        <v>25</v>
      </c>
      <c r="B27" s="29" t="s">
        <v>26</v>
      </c>
      <c r="C27" s="13" t="s">
        <v>44</v>
      </c>
      <c r="D27" s="30" t="s">
        <v>31</v>
      </c>
      <c r="E27" s="19">
        <v>12500</v>
      </c>
      <c r="F27" s="20"/>
      <c r="G27" s="29"/>
      <c r="H27" s="29"/>
      <c r="I27" s="29"/>
      <c r="J27" s="29" t="s">
        <v>29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t="str">
        <f t="shared" si="0"/>
        <v>Farm-to-Market Road</v>
      </c>
    </row>
    <row r="28" ht="30" spans="1:27">
      <c r="A28" s="29" t="s">
        <v>25</v>
      </c>
      <c r="B28" s="29" t="s">
        <v>26</v>
      </c>
      <c r="C28" s="13" t="s">
        <v>44</v>
      </c>
      <c r="D28" s="29" t="s">
        <v>32</v>
      </c>
      <c r="E28" s="19">
        <v>1555</v>
      </c>
      <c r="F28" s="20"/>
      <c r="G28" s="29"/>
      <c r="H28" s="33"/>
      <c r="I28" s="29"/>
      <c r="J28" s="29" t="s">
        <v>33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t="str">
        <f t="shared" si="0"/>
        <v>Various Commodities (SAAD)</v>
      </c>
    </row>
    <row r="29" spans="1:27">
      <c r="A29" s="29" t="s">
        <v>25</v>
      </c>
      <c r="B29" s="29" t="s">
        <v>26</v>
      </c>
      <c r="C29" s="13" t="s">
        <v>44</v>
      </c>
      <c r="D29" s="30" t="s">
        <v>47</v>
      </c>
      <c r="E29" s="19"/>
      <c r="F29" s="20"/>
      <c r="G29" s="29"/>
      <c r="H29" s="29"/>
      <c r="I29" s="29"/>
      <c r="J29" s="29" t="s">
        <v>39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t="str">
        <f t="shared" si="0"/>
        <v/>
      </c>
    </row>
    <row r="30" spans="1:27">
      <c r="A30" s="29" t="s">
        <v>25</v>
      </c>
      <c r="B30" s="29" t="s">
        <v>26</v>
      </c>
      <c r="C30" s="13" t="s">
        <v>44</v>
      </c>
      <c r="D30" s="30" t="s">
        <v>42</v>
      </c>
      <c r="E30" s="19"/>
      <c r="F30" s="20"/>
      <c r="G30" s="29"/>
      <c r="H30" s="29"/>
      <c r="I30" s="29"/>
      <c r="J30" s="29" t="s">
        <v>39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t="str">
        <f t="shared" si="0"/>
        <v/>
      </c>
    </row>
    <row r="31" spans="1:27">
      <c r="A31" s="29" t="s">
        <v>25</v>
      </c>
      <c r="B31" s="29" t="s">
        <v>26</v>
      </c>
      <c r="C31" s="13" t="s">
        <v>44</v>
      </c>
      <c r="D31" s="30" t="s">
        <v>48</v>
      </c>
      <c r="E31" s="19"/>
      <c r="F31" s="20"/>
      <c r="G31" s="29"/>
      <c r="H31" s="29"/>
      <c r="I31" s="29"/>
      <c r="J31" s="29" t="s">
        <v>39</v>
      </c>
      <c r="AA31" t="str">
        <f t="shared" si="0"/>
        <v/>
      </c>
    </row>
    <row r="32" spans="1:27">
      <c r="A32" s="29" t="s">
        <v>25</v>
      </c>
      <c r="B32" s="29" t="s">
        <v>26</v>
      </c>
      <c r="C32" s="13" t="s">
        <v>44</v>
      </c>
      <c r="D32" s="30" t="s">
        <v>49</v>
      </c>
      <c r="E32" s="19"/>
      <c r="F32" s="20"/>
      <c r="G32" s="29"/>
      <c r="H32" s="29"/>
      <c r="I32" s="29"/>
      <c r="J32" s="29" t="s">
        <v>39</v>
      </c>
      <c r="AA32" t="str">
        <f t="shared" si="0"/>
        <v/>
      </c>
    </row>
    <row r="33" ht="30" customHeight="1" spans="1:27">
      <c r="A33" s="29" t="s">
        <v>25</v>
      </c>
      <c r="B33" s="29" t="s">
        <v>26</v>
      </c>
      <c r="C33" s="13" t="s">
        <v>50</v>
      </c>
      <c r="D33" s="30" t="s">
        <v>38</v>
      </c>
      <c r="E33" s="19"/>
      <c r="F33" s="20"/>
      <c r="G33" s="29"/>
      <c r="H33" s="29"/>
      <c r="I33" s="29"/>
      <c r="J33" s="29" t="s">
        <v>39</v>
      </c>
      <c r="AA33" t="str">
        <f t="shared" si="0"/>
        <v/>
      </c>
    </row>
    <row r="34" spans="1:27">
      <c r="A34" s="29" t="s">
        <v>25</v>
      </c>
      <c r="B34" s="29" t="s">
        <v>26</v>
      </c>
      <c r="C34" s="13" t="s">
        <v>50</v>
      </c>
      <c r="D34" s="30" t="s">
        <v>31</v>
      </c>
      <c r="E34" s="19">
        <v>12500</v>
      </c>
      <c r="F34" s="20"/>
      <c r="G34" s="29"/>
      <c r="H34" s="29"/>
      <c r="I34" s="29"/>
      <c r="J34" s="29" t="s">
        <v>29</v>
      </c>
      <c r="AA34" t="str">
        <f t="shared" si="0"/>
        <v>Farm-to-Market Road</v>
      </c>
    </row>
    <row r="35" ht="30" customHeight="1" spans="1:27">
      <c r="A35" s="29" t="s">
        <v>25</v>
      </c>
      <c r="B35" s="29" t="s">
        <v>26</v>
      </c>
      <c r="C35" s="13" t="s">
        <v>50</v>
      </c>
      <c r="D35" s="30" t="s">
        <v>51</v>
      </c>
      <c r="E35" s="19"/>
      <c r="F35" s="20"/>
      <c r="G35" s="29"/>
      <c r="H35" s="29"/>
      <c r="I35" s="29"/>
      <c r="J35" s="29" t="s">
        <v>39</v>
      </c>
      <c r="AA35" t="str">
        <f t="shared" si="0"/>
        <v/>
      </c>
    </row>
    <row r="36" ht="30" customHeight="1" spans="1:27">
      <c r="A36" s="29" t="s">
        <v>25</v>
      </c>
      <c r="B36" s="29" t="s">
        <v>26</v>
      </c>
      <c r="C36" s="13" t="s">
        <v>50</v>
      </c>
      <c r="D36" s="30" t="s">
        <v>52</v>
      </c>
      <c r="E36" s="19"/>
      <c r="F36" s="20"/>
      <c r="G36" s="29"/>
      <c r="H36" s="29"/>
      <c r="I36" s="29"/>
      <c r="J36" s="29" t="s">
        <v>39</v>
      </c>
      <c r="AA36" t="str">
        <f t="shared" si="0"/>
        <v/>
      </c>
    </row>
    <row r="37" ht="30" customHeight="1" spans="1:27">
      <c r="A37" s="29" t="s">
        <v>25</v>
      </c>
      <c r="B37" s="29" t="s">
        <v>26</v>
      </c>
      <c r="C37" s="13" t="s">
        <v>53</v>
      </c>
      <c r="D37" s="30" t="s">
        <v>38</v>
      </c>
      <c r="E37" s="19"/>
      <c r="F37" s="20"/>
      <c r="G37" s="29"/>
      <c r="H37" s="29"/>
      <c r="I37" s="29"/>
      <c r="J37" s="29" t="s">
        <v>39</v>
      </c>
      <c r="AA37" t="str">
        <f t="shared" si="0"/>
        <v/>
      </c>
    </row>
    <row r="38" ht="45" customHeight="1" spans="1:27">
      <c r="A38" s="29" t="s">
        <v>25</v>
      </c>
      <c r="B38" s="29" t="s">
        <v>26</v>
      </c>
      <c r="C38" s="13" t="s">
        <v>53</v>
      </c>
      <c r="D38" s="30" t="s">
        <v>54</v>
      </c>
      <c r="E38" s="19"/>
      <c r="F38" s="20">
        <v>16000</v>
      </c>
      <c r="G38" s="29"/>
      <c r="H38" s="29"/>
      <c r="I38" s="29"/>
      <c r="J38" s="29" t="s">
        <v>29</v>
      </c>
      <c r="AA38" t="str">
        <f t="shared" si="0"/>
        <v>Farm-to-Market Road</v>
      </c>
    </row>
    <row r="39" ht="45" customHeight="1" spans="1:27">
      <c r="A39" s="29" t="s">
        <v>25</v>
      </c>
      <c r="B39" s="29" t="s">
        <v>26</v>
      </c>
      <c r="C39" s="13" t="s">
        <v>53</v>
      </c>
      <c r="D39" s="30" t="s">
        <v>55</v>
      </c>
      <c r="E39" s="19"/>
      <c r="F39" s="20">
        <v>13500</v>
      </c>
      <c r="G39" s="29"/>
      <c r="H39" s="29"/>
      <c r="I39" s="29"/>
      <c r="J39" s="29" t="s">
        <v>29</v>
      </c>
      <c r="AA39" t="str">
        <f t="shared" si="0"/>
        <v>Farm-to-Market Road</v>
      </c>
    </row>
    <row r="40" ht="45" customHeight="1" spans="1:27">
      <c r="A40" s="29" t="s">
        <v>25</v>
      </c>
      <c r="B40" s="29" t="s">
        <v>26</v>
      </c>
      <c r="C40" s="13" t="s">
        <v>53</v>
      </c>
      <c r="D40" s="30" t="s">
        <v>31</v>
      </c>
      <c r="E40" s="19">
        <v>25000</v>
      </c>
      <c r="F40" s="20"/>
      <c r="G40" s="29"/>
      <c r="H40" s="29"/>
      <c r="I40" s="29"/>
      <c r="J40" s="29" t="s">
        <v>29</v>
      </c>
      <c r="AA40" t="str">
        <f t="shared" si="0"/>
        <v>Farm-to-Market Road</v>
      </c>
    </row>
    <row r="41" ht="45" customHeight="1" spans="1:27">
      <c r="A41" s="29" t="s">
        <v>25</v>
      </c>
      <c r="B41" s="29" t="s">
        <v>26</v>
      </c>
      <c r="C41" s="13" t="s">
        <v>53</v>
      </c>
      <c r="D41" s="30" t="s">
        <v>47</v>
      </c>
      <c r="E41" s="19"/>
      <c r="F41" s="20"/>
      <c r="G41" s="29"/>
      <c r="H41" s="29"/>
      <c r="I41" s="29"/>
      <c r="J41" s="29" t="s">
        <v>39</v>
      </c>
      <c r="AA41" t="str">
        <f t="shared" si="0"/>
        <v/>
      </c>
    </row>
    <row r="42" spans="1:27">
      <c r="A42" s="29" t="s">
        <v>25</v>
      </c>
      <c r="B42" s="29" t="s">
        <v>26</v>
      </c>
      <c r="C42" s="13" t="s">
        <v>53</v>
      </c>
      <c r="D42" s="30" t="s">
        <v>49</v>
      </c>
      <c r="E42" s="19"/>
      <c r="F42" s="20"/>
      <c r="G42" s="29"/>
      <c r="H42" s="29"/>
      <c r="I42" s="29"/>
      <c r="J42" s="29" t="s">
        <v>39</v>
      </c>
      <c r="AA42" t="str">
        <f t="shared" si="0"/>
        <v/>
      </c>
    </row>
    <row r="43" ht="30" customHeight="1" spans="1:27">
      <c r="A43" s="29" t="s">
        <v>25</v>
      </c>
      <c r="B43" s="29" t="s">
        <v>26</v>
      </c>
      <c r="C43" s="13" t="s">
        <v>56</v>
      </c>
      <c r="D43" s="30" t="s">
        <v>57</v>
      </c>
      <c r="E43" s="19"/>
      <c r="F43" s="20"/>
      <c r="G43" s="29"/>
      <c r="H43" s="29"/>
      <c r="I43" s="29"/>
      <c r="J43" s="29" t="s">
        <v>39</v>
      </c>
      <c r="AA43" t="str">
        <f t="shared" si="0"/>
        <v/>
      </c>
    </row>
    <row r="44" ht="30" customHeight="1" spans="1:27">
      <c r="A44" s="29" t="s">
        <v>25</v>
      </c>
      <c r="B44" s="29" t="s">
        <v>26</v>
      </c>
      <c r="C44" s="13" t="s">
        <v>56</v>
      </c>
      <c r="D44" s="30" t="s">
        <v>58</v>
      </c>
      <c r="E44" s="19"/>
      <c r="F44" s="20">
        <v>49000</v>
      </c>
      <c r="G44" s="29"/>
      <c r="H44" s="29"/>
      <c r="I44" s="29"/>
      <c r="J44" s="29" t="s">
        <v>29</v>
      </c>
      <c r="AA44" t="str">
        <f t="shared" si="0"/>
        <v>Farm-to-Market Road</v>
      </c>
    </row>
    <row r="45" ht="45" customHeight="1" spans="1:27">
      <c r="A45" s="29" t="s">
        <v>25</v>
      </c>
      <c r="B45" s="29" t="s">
        <v>26</v>
      </c>
      <c r="C45" s="13" t="s">
        <v>56</v>
      </c>
      <c r="D45" s="30" t="s">
        <v>59</v>
      </c>
      <c r="E45" s="19"/>
      <c r="F45" s="20">
        <v>46200</v>
      </c>
      <c r="G45" s="29"/>
      <c r="H45" s="29"/>
      <c r="I45" s="29"/>
      <c r="J45" s="29" t="s">
        <v>29</v>
      </c>
      <c r="AA45" t="str">
        <f t="shared" si="0"/>
        <v>Farm-to-Market Road</v>
      </c>
    </row>
    <row r="46" ht="30" customHeight="1" spans="1:27">
      <c r="A46" s="29" t="s">
        <v>25</v>
      </c>
      <c r="B46" s="29" t="s">
        <v>26</v>
      </c>
      <c r="C46" s="13" t="s">
        <v>56</v>
      </c>
      <c r="D46" s="29" t="s">
        <v>60</v>
      </c>
      <c r="E46" s="19">
        <v>700</v>
      </c>
      <c r="F46" s="20"/>
      <c r="G46" s="29"/>
      <c r="H46" s="33"/>
      <c r="I46" s="29"/>
      <c r="J46" s="29" t="s">
        <v>33</v>
      </c>
      <c r="AA46" t="str">
        <f t="shared" si="0"/>
        <v>Various Commodities (SAAD)</v>
      </c>
    </row>
    <row r="47" ht="30" customHeight="1" spans="1:27">
      <c r="A47" s="29" t="s">
        <v>25</v>
      </c>
      <c r="B47" s="29" t="s">
        <v>26</v>
      </c>
      <c r="C47" s="13" t="s">
        <v>56</v>
      </c>
      <c r="D47" s="29" t="s">
        <v>32</v>
      </c>
      <c r="E47" s="19">
        <v>1555</v>
      </c>
      <c r="F47" s="20"/>
      <c r="G47" s="29"/>
      <c r="H47" s="33"/>
      <c r="I47" s="29"/>
      <c r="J47" s="29" t="s">
        <v>33</v>
      </c>
      <c r="AA47" t="str">
        <f t="shared" si="0"/>
        <v>Various Commodities (SAAD)</v>
      </c>
    </row>
    <row r="48" ht="30" customHeight="1" spans="1:27">
      <c r="A48" s="29" t="s">
        <v>25</v>
      </c>
      <c r="B48" s="29" t="s">
        <v>26</v>
      </c>
      <c r="C48" s="13" t="s">
        <v>56</v>
      </c>
      <c r="D48" s="30" t="s">
        <v>47</v>
      </c>
      <c r="E48" s="19"/>
      <c r="F48" s="20"/>
      <c r="G48" s="29"/>
      <c r="H48" s="29"/>
      <c r="I48" s="29"/>
      <c r="J48" s="29" t="s">
        <v>39</v>
      </c>
      <c r="AA48" t="str">
        <f t="shared" si="0"/>
        <v/>
      </c>
    </row>
    <row r="49" ht="30" customHeight="1" spans="1:27">
      <c r="A49" s="29" t="s">
        <v>25</v>
      </c>
      <c r="B49" s="29" t="s">
        <v>26</v>
      </c>
      <c r="C49" s="13" t="s">
        <v>56</v>
      </c>
      <c r="D49" s="29" t="s">
        <v>34</v>
      </c>
      <c r="E49" s="19">
        <v>120</v>
      </c>
      <c r="F49" s="20"/>
      <c r="G49" s="29"/>
      <c r="H49" s="33"/>
      <c r="I49" s="29"/>
      <c r="J49" s="29" t="s">
        <v>35</v>
      </c>
      <c r="AA49" t="str">
        <f t="shared" si="0"/>
        <v>High Value Crops (Vegetables/Fruits/Rootcrops)</v>
      </c>
    </row>
    <row r="50" ht="30" customHeight="1" spans="1:27">
      <c r="A50" s="29" t="s">
        <v>25</v>
      </c>
      <c r="B50" s="29" t="s">
        <v>26</v>
      </c>
      <c r="C50" s="13" t="s">
        <v>56</v>
      </c>
      <c r="D50" s="29" t="s">
        <v>36</v>
      </c>
      <c r="E50" s="19">
        <v>7000</v>
      </c>
      <c r="F50" s="20"/>
      <c r="G50" s="29"/>
      <c r="H50" s="33"/>
      <c r="I50" s="29"/>
      <c r="J50" s="29" t="s">
        <v>35</v>
      </c>
      <c r="AA50" t="str">
        <f t="shared" si="0"/>
        <v>High Value Crops (Vegetables/Fruits/Rootcrops)</v>
      </c>
    </row>
    <row r="51" ht="30" customHeight="1" spans="1:27">
      <c r="A51" s="29" t="s">
        <v>25</v>
      </c>
      <c r="B51" s="29" t="s">
        <v>26</v>
      </c>
      <c r="C51" s="13" t="s">
        <v>56</v>
      </c>
      <c r="D51" s="30" t="s">
        <v>52</v>
      </c>
      <c r="E51" s="19"/>
      <c r="F51" s="20"/>
      <c r="G51" s="29"/>
      <c r="H51" s="29"/>
      <c r="I51" s="29"/>
      <c r="J51" s="29" t="s">
        <v>39</v>
      </c>
      <c r="AA51" t="str">
        <f t="shared" si="0"/>
        <v/>
      </c>
    </row>
    <row r="52" ht="30" customHeight="1" spans="1:27">
      <c r="A52" s="29" t="s">
        <v>25</v>
      </c>
      <c r="B52" s="29" t="s">
        <v>61</v>
      </c>
      <c r="C52" s="13" t="s">
        <v>62</v>
      </c>
      <c r="D52" s="29" t="s">
        <v>63</v>
      </c>
      <c r="E52" s="23">
        <v>15669.3427</v>
      </c>
      <c r="F52" s="24">
        <v>1928.5345</v>
      </c>
      <c r="G52" s="29"/>
      <c r="H52" s="33"/>
      <c r="I52" s="33"/>
      <c r="J52" s="29" t="s">
        <v>64</v>
      </c>
      <c r="AA52" t="str">
        <f t="shared" si="0"/>
        <v>Rice</v>
      </c>
    </row>
    <row r="53" ht="30" customHeight="1" spans="1:27">
      <c r="A53" s="29" t="s">
        <v>25</v>
      </c>
      <c r="B53" s="29" t="s">
        <v>61</v>
      </c>
      <c r="C53" s="13" t="s">
        <v>62</v>
      </c>
      <c r="D53" s="29" t="s">
        <v>65</v>
      </c>
      <c r="E53" s="19"/>
      <c r="F53" s="20">
        <v>2300</v>
      </c>
      <c r="G53" s="29"/>
      <c r="H53" s="29"/>
      <c r="I53" s="33"/>
      <c r="J53" s="29" t="s">
        <v>64</v>
      </c>
      <c r="AA53" t="str">
        <f t="shared" si="0"/>
        <v>Rice</v>
      </c>
    </row>
    <row r="54" ht="30" customHeight="1" spans="1:27">
      <c r="A54" s="29" t="s">
        <v>25</v>
      </c>
      <c r="B54" s="29" t="s">
        <v>61</v>
      </c>
      <c r="C54" s="13" t="s">
        <v>62</v>
      </c>
      <c r="D54" s="29" t="s">
        <v>66</v>
      </c>
      <c r="E54" s="19">
        <v>1500</v>
      </c>
      <c r="F54" s="20"/>
      <c r="G54" s="29"/>
      <c r="H54" s="33"/>
      <c r="I54" s="29"/>
      <c r="J54" s="29" t="s">
        <v>67</v>
      </c>
      <c r="AA54" t="str">
        <f t="shared" si="0"/>
        <v>Rice</v>
      </c>
    </row>
    <row r="55" ht="30" customHeight="1" spans="1:27">
      <c r="A55" s="29" t="s">
        <v>25</v>
      </c>
      <c r="B55" s="29" t="s">
        <v>61</v>
      </c>
      <c r="C55" s="13" t="s">
        <v>62</v>
      </c>
      <c r="D55" s="29" t="s">
        <v>68</v>
      </c>
      <c r="E55" s="19"/>
      <c r="F55" s="20">
        <v>1500</v>
      </c>
      <c r="G55" s="29"/>
      <c r="H55" s="29"/>
      <c r="I55" s="33"/>
      <c r="J55" s="29" t="s">
        <v>64</v>
      </c>
      <c r="AA55" t="str">
        <f t="shared" si="0"/>
        <v>Rice</v>
      </c>
    </row>
    <row r="56" ht="30" customHeight="1" spans="1:27">
      <c r="A56" s="29" t="s">
        <v>25</v>
      </c>
      <c r="B56" s="29" t="s">
        <v>61</v>
      </c>
      <c r="C56" s="13" t="s">
        <v>62</v>
      </c>
      <c r="D56" s="29" t="s">
        <v>69</v>
      </c>
      <c r="E56" s="19">
        <v>4500</v>
      </c>
      <c r="F56" s="20"/>
      <c r="G56" s="29"/>
      <c r="H56" s="33"/>
      <c r="I56" s="29"/>
      <c r="J56" s="29" t="s">
        <v>67</v>
      </c>
      <c r="AA56" t="str">
        <f t="shared" si="0"/>
        <v>Rice</v>
      </c>
    </row>
    <row r="57" ht="45" customHeight="1" spans="1:27">
      <c r="A57" s="29" t="s">
        <v>25</v>
      </c>
      <c r="B57" s="29" t="s">
        <v>61</v>
      </c>
      <c r="C57" s="13" t="s">
        <v>62</v>
      </c>
      <c r="D57" s="29" t="s">
        <v>70</v>
      </c>
      <c r="E57" s="23">
        <v>70512.0423</v>
      </c>
      <c r="F57" s="20"/>
      <c r="G57" s="29"/>
      <c r="H57" s="33"/>
      <c r="I57" s="29"/>
      <c r="J57" s="29" t="s">
        <v>64</v>
      </c>
      <c r="AA57" t="str">
        <f t="shared" si="0"/>
        <v>Rice</v>
      </c>
    </row>
    <row r="58" ht="30" customHeight="1" spans="1:27">
      <c r="A58" s="29" t="s">
        <v>25</v>
      </c>
      <c r="B58" s="29" t="s">
        <v>61</v>
      </c>
      <c r="C58" s="13" t="s">
        <v>62</v>
      </c>
      <c r="D58" s="29" t="s">
        <v>71</v>
      </c>
      <c r="E58" s="23">
        <v>4663.775</v>
      </c>
      <c r="F58" s="20"/>
      <c r="G58" s="29"/>
      <c r="H58" s="33"/>
      <c r="I58" s="29"/>
      <c r="J58" s="29" t="s">
        <v>64</v>
      </c>
      <c r="AA58" t="str">
        <f t="shared" si="0"/>
        <v>Rice</v>
      </c>
    </row>
    <row r="59" ht="30" customHeight="1" spans="1:27">
      <c r="A59" s="29" t="s">
        <v>25</v>
      </c>
      <c r="B59" s="29" t="s">
        <v>61</v>
      </c>
      <c r="C59" s="13" t="s">
        <v>62</v>
      </c>
      <c r="D59" s="29" t="s">
        <v>72</v>
      </c>
      <c r="E59" s="19">
        <v>515.82</v>
      </c>
      <c r="F59" s="20"/>
      <c r="G59" s="29"/>
      <c r="H59" s="33"/>
      <c r="I59" s="29"/>
      <c r="J59" s="29" t="s">
        <v>35</v>
      </c>
      <c r="AA59" t="str">
        <f t="shared" si="0"/>
        <v>High Value Crops (Vegetables/Fruits/Rootcrops)</v>
      </c>
    </row>
    <row r="60" ht="30" customHeight="1" spans="1:27">
      <c r="A60" s="29" t="s">
        <v>25</v>
      </c>
      <c r="B60" s="29" t="s">
        <v>61</v>
      </c>
      <c r="C60" s="13" t="s">
        <v>62</v>
      </c>
      <c r="D60" s="29" t="s">
        <v>73</v>
      </c>
      <c r="E60" s="19">
        <v>19200</v>
      </c>
      <c r="F60" s="20"/>
      <c r="G60" s="29"/>
      <c r="H60" s="33"/>
      <c r="I60" s="29"/>
      <c r="J60" s="29" t="s">
        <v>64</v>
      </c>
      <c r="AA60" t="str">
        <f t="shared" si="0"/>
        <v>Rice</v>
      </c>
    </row>
    <row r="61" ht="30" customHeight="1" spans="1:27">
      <c r="A61" s="29" t="s">
        <v>25</v>
      </c>
      <c r="B61" s="29" t="s">
        <v>61</v>
      </c>
      <c r="C61" s="13" t="s">
        <v>62</v>
      </c>
      <c r="D61" s="29" t="s">
        <v>36</v>
      </c>
      <c r="E61" s="19">
        <v>1250</v>
      </c>
      <c r="F61" s="20"/>
      <c r="G61" s="29"/>
      <c r="H61" s="33"/>
      <c r="I61" s="29"/>
      <c r="J61" s="29" t="s">
        <v>35</v>
      </c>
      <c r="AA61" t="str">
        <f t="shared" si="0"/>
        <v>High Value Crops (Vegetables/Fruits/Rootcrops)</v>
      </c>
    </row>
    <row r="62" ht="45" customHeight="1" spans="1:27">
      <c r="A62" s="29" t="s">
        <v>25</v>
      </c>
      <c r="B62" s="29" t="s">
        <v>61</v>
      </c>
      <c r="C62" s="13" t="s">
        <v>62</v>
      </c>
      <c r="D62" s="29" t="s">
        <v>74</v>
      </c>
      <c r="E62" s="19">
        <v>3420</v>
      </c>
      <c r="F62" s="20"/>
      <c r="G62" s="29"/>
      <c r="H62" s="33"/>
      <c r="I62" s="29"/>
      <c r="J62" s="29" t="s">
        <v>75</v>
      </c>
      <c r="AA62" t="str">
        <f t="shared" si="0"/>
        <v>Corn</v>
      </c>
    </row>
    <row r="63" ht="30" customHeight="1" spans="1:27">
      <c r="A63" s="29" t="s">
        <v>25</v>
      </c>
      <c r="B63" s="29" t="s">
        <v>61</v>
      </c>
      <c r="C63" s="13" t="s">
        <v>76</v>
      </c>
      <c r="D63" s="29" t="s">
        <v>77</v>
      </c>
      <c r="E63" s="21">
        <v>600</v>
      </c>
      <c r="F63" s="22"/>
      <c r="G63" s="29"/>
      <c r="H63" s="33"/>
      <c r="I63" s="29"/>
      <c r="J63" s="29" t="s">
        <v>75</v>
      </c>
      <c r="AA63" t="str">
        <f t="shared" si="0"/>
        <v>Corn</v>
      </c>
    </row>
    <row r="64" ht="30" customHeight="1" spans="1:27">
      <c r="A64" s="29" t="s">
        <v>25</v>
      </c>
      <c r="B64" s="29" t="s">
        <v>61</v>
      </c>
      <c r="C64" s="13" t="s">
        <v>76</v>
      </c>
      <c r="D64" s="29" t="s">
        <v>78</v>
      </c>
      <c r="E64" s="19">
        <v>120</v>
      </c>
      <c r="F64" s="20"/>
      <c r="G64" s="29"/>
      <c r="H64" s="33"/>
      <c r="I64" s="29"/>
      <c r="J64" s="29" t="s">
        <v>75</v>
      </c>
      <c r="AA64" t="str">
        <f t="shared" si="0"/>
        <v>Corn</v>
      </c>
    </row>
    <row r="65" ht="30" customHeight="1" spans="1:27">
      <c r="A65" s="29" t="s">
        <v>25</v>
      </c>
      <c r="B65" s="29" t="s">
        <v>61</v>
      </c>
      <c r="C65" s="13" t="s">
        <v>76</v>
      </c>
      <c r="D65" s="29" t="s">
        <v>79</v>
      </c>
      <c r="E65" s="19">
        <v>5400</v>
      </c>
      <c r="F65" s="20"/>
      <c r="G65" s="29"/>
      <c r="H65" s="33"/>
      <c r="I65" s="29"/>
      <c r="J65" s="29" t="s">
        <v>80</v>
      </c>
      <c r="AA65" t="str">
        <f t="shared" si="0"/>
        <v>Livestock (Cattle/Carabao/Swine/Poultry)</v>
      </c>
    </row>
    <row r="66" ht="30" customHeight="1" spans="1:27">
      <c r="A66" s="29" t="s">
        <v>25</v>
      </c>
      <c r="B66" s="29" t="s">
        <v>61</v>
      </c>
      <c r="C66" s="13" t="s">
        <v>76</v>
      </c>
      <c r="D66" s="29" t="s">
        <v>81</v>
      </c>
      <c r="E66" s="19">
        <v>5400</v>
      </c>
      <c r="F66" s="20"/>
      <c r="G66" s="29"/>
      <c r="H66" s="33"/>
      <c r="I66" s="29"/>
      <c r="J66" s="29" t="s">
        <v>80</v>
      </c>
      <c r="AA66" t="str">
        <f t="shared" si="0"/>
        <v>Livestock (Cattle/Carabao/Swine/Poultry)</v>
      </c>
    </row>
    <row r="67" ht="30" customHeight="1" spans="1:27">
      <c r="A67" s="29" t="s">
        <v>25</v>
      </c>
      <c r="B67" s="29" t="s">
        <v>61</v>
      </c>
      <c r="C67" s="13" t="s">
        <v>76</v>
      </c>
      <c r="D67" s="30" t="s">
        <v>82</v>
      </c>
      <c r="E67" s="19"/>
      <c r="F67" s="20">
        <v>15000</v>
      </c>
      <c r="G67" s="29"/>
      <c r="H67" s="29"/>
      <c r="I67" s="29"/>
      <c r="J67" s="29" t="s">
        <v>29</v>
      </c>
      <c r="AA67" t="str">
        <f t="shared" si="0"/>
        <v>Farm-to-Market Road</v>
      </c>
    </row>
    <row r="68" ht="30" customHeight="1" spans="1:27">
      <c r="A68" s="29" t="s">
        <v>25</v>
      </c>
      <c r="B68" s="29" t="s">
        <v>61</v>
      </c>
      <c r="C68" s="13" t="s">
        <v>76</v>
      </c>
      <c r="D68" s="30" t="s">
        <v>83</v>
      </c>
      <c r="E68" s="19"/>
      <c r="F68" s="20">
        <v>16500</v>
      </c>
      <c r="G68" s="29"/>
      <c r="H68" s="29"/>
      <c r="I68" s="29"/>
      <c r="J68" s="29" t="s">
        <v>29</v>
      </c>
      <c r="AA68" t="str">
        <f t="shared" si="0"/>
        <v>Farm-to-Market Road</v>
      </c>
    </row>
    <row r="69" ht="30" customHeight="1" spans="1:27">
      <c r="A69" s="29" t="s">
        <v>25</v>
      </c>
      <c r="B69" s="29" t="s">
        <v>61</v>
      </c>
      <c r="C69" s="13" t="s">
        <v>76</v>
      </c>
      <c r="D69" s="30" t="s">
        <v>84</v>
      </c>
      <c r="E69" s="19"/>
      <c r="F69" s="20">
        <v>39900</v>
      </c>
      <c r="G69" s="29"/>
      <c r="H69" s="29"/>
      <c r="I69" s="29"/>
      <c r="J69" s="29" t="s">
        <v>29</v>
      </c>
      <c r="AA69" t="str">
        <f t="shared" si="0"/>
        <v>Farm-to-Market Road</v>
      </c>
    </row>
    <row r="70" ht="30" customHeight="1" spans="1:27">
      <c r="A70" s="29" t="s">
        <v>25</v>
      </c>
      <c r="B70" s="29" t="s">
        <v>61</v>
      </c>
      <c r="C70" s="13" t="s">
        <v>76</v>
      </c>
      <c r="D70" s="30" t="s">
        <v>85</v>
      </c>
      <c r="E70" s="19"/>
      <c r="F70" s="20">
        <v>25800</v>
      </c>
      <c r="G70" s="29"/>
      <c r="H70" s="29"/>
      <c r="I70" s="29"/>
      <c r="J70" s="29" t="s">
        <v>29</v>
      </c>
      <c r="AA70" t="str">
        <f t="shared" si="0"/>
        <v>Farm-to-Market Road</v>
      </c>
    </row>
    <row r="71" ht="30" customHeight="1" spans="1:27">
      <c r="A71" s="29" t="s">
        <v>25</v>
      </c>
      <c r="B71" s="29" t="s">
        <v>61</v>
      </c>
      <c r="C71" s="13" t="s">
        <v>76</v>
      </c>
      <c r="D71" s="30" t="s">
        <v>86</v>
      </c>
      <c r="E71" s="19"/>
      <c r="F71" s="20">
        <v>28800</v>
      </c>
      <c r="G71" s="29"/>
      <c r="H71" s="29"/>
      <c r="I71" s="29"/>
      <c r="J71" s="29" t="s">
        <v>29</v>
      </c>
      <c r="AA71" t="str">
        <f t="shared" si="0"/>
        <v>Farm-to-Market Road</v>
      </c>
    </row>
    <row r="72" ht="30" customHeight="1" spans="1:27">
      <c r="A72" s="29" t="s">
        <v>25</v>
      </c>
      <c r="B72" s="29" t="s">
        <v>61</v>
      </c>
      <c r="C72" s="13" t="s">
        <v>76</v>
      </c>
      <c r="D72" s="30" t="s">
        <v>87</v>
      </c>
      <c r="E72" s="19"/>
      <c r="F72" s="20">
        <v>31950</v>
      </c>
      <c r="G72" s="29"/>
      <c r="H72" s="29"/>
      <c r="I72" s="29"/>
      <c r="J72" s="29" t="s">
        <v>29</v>
      </c>
      <c r="AA72" t="str">
        <f t="shared" si="0"/>
        <v>Farm-to-Market Road</v>
      </c>
    </row>
    <row r="73" ht="30" customHeight="1" spans="1:27">
      <c r="A73" s="29" t="s">
        <v>25</v>
      </c>
      <c r="B73" s="29" t="s">
        <v>61</v>
      </c>
      <c r="C73" s="13" t="s">
        <v>76</v>
      </c>
      <c r="D73" s="30" t="s">
        <v>88</v>
      </c>
      <c r="E73" s="19"/>
      <c r="F73" s="20">
        <v>16500</v>
      </c>
      <c r="G73" s="29"/>
      <c r="H73" s="29"/>
      <c r="I73" s="29"/>
      <c r="J73" s="29" t="s">
        <v>29</v>
      </c>
      <c r="AA73" t="str">
        <f t="shared" si="0"/>
        <v>Farm-to-Market Road</v>
      </c>
    </row>
    <row r="74" ht="30" customHeight="1" spans="1:27">
      <c r="A74" s="29" t="s">
        <v>25</v>
      </c>
      <c r="B74" s="29" t="s">
        <v>61</v>
      </c>
      <c r="C74" s="13" t="s">
        <v>76</v>
      </c>
      <c r="D74" s="30" t="s">
        <v>89</v>
      </c>
      <c r="E74" s="19"/>
      <c r="F74" s="20">
        <v>15000</v>
      </c>
      <c r="G74" s="29"/>
      <c r="H74" s="29"/>
      <c r="I74" s="29"/>
      <c r="J74" s="29" t="s">
        <v>29</v>
      </c>
      <c r="AA74" t="str">
        <f t="shared" ref="AA74:AA137" si="1">_xlfn.IFS(J74="DA-FMRDP","Farm-to-Market Road",J74="DA-RFO2 RICE","Rice",J74="DA-RFO2 Rice Program","Rice",J74="DA-RFO2 CORN","Corn",J74="DA-RFO2 Corn Program","Corn",J74="DA-RFO2 HVCDP","High Value Crops (Vegetables/Fruits/Rootcrops)",J74="DA-RFO2 HVCDP Export","High Value Export Crops (Dragon Fruit/Ube/Okra/Banana)",J74="DA-RFO2 HVCDP Coffee","Coffee (HVCDP)",J74="DA-RFO2 LIVESTOCK","Livestock (Cattle/Carabao/Swine/Poultry)",J74="DA-RFO2 SAAD","Various Commodities (SAAD)",J74="DA-RFO2 4K","Various Commodities (4Ks)",J74="DA-RFO2 4KS","Various Commodities (4Ks)",J74="DA-RFO2 HALAL","Halal Food Products",J74="DA-RFO2 OAP","Organic Agriculture",J74="DA-RFO2 NUPAP","Vegetables (NUPAP/Urban Agri)",TRUE,IF(ISNUMBER(SEARCH("FMR",D74)),"Farm-to-Market Road",IF(ISNUMBER(SEARCH("RICE",D74)),"Rice",IF(ISNUMBER(SEARCH("CORN",D74)),"Corn",IF(ISNUMBER(SEARCH("HVCDP COFFEE",D74)),"Coffee (HVCDP)",IF(ISNUMBER(SEARCH("HVCDP EXPORT",D74)),"High Value Export Crops (Dragon Fruit/Ube/Okra/Banana)",IF(ISNUMBER(SEARCH("HVCDP",D74)),"High Value Crops (Vegetables/Fruits/Rootcrops)",IF(ISNUMBER(SEARCH("LIVESTOCK",D74)),"Livestock (Cattle/Carabao/Swine/Poultry)",IF(ISNUMBER(SEARCH("SAAD",D74)),"Various Commodities (SAAD)",IF(ISNUMBER(SEARCH("4KS",D74)),"Various Commodities (4Ks)",IF(ISNUMBER(SEARCH("4K",D74)),"Various Commodities (4Ks)",IF(ISNUMBER(SEARCH("HALAL",D74)),"Halal Food Products",IF(ISNUMBER(SEARCH("OAP",D74)),"Organic Agriculture",IF(ISNUMBER(SEARCH("NUPAP",D74)),"Vegetables (NUPAP/Urban Agri)",""))))))))))))))</f>
        <v>Farm-to-Market Road</v>
      </c>
    </row>
    <row r="75" ht="30" customHeight="1" spans="1:27">
      <c r="A75" s="29" t="s">
        <v>25</v>
      </c>
      <c r="B75" s="29" t="s">
        <v>61</v>
      </c>
      <c r="C75" s="13" t="s">
        <v>76</v>
      </c>
      <c r="D75" s="29" t="s">
        <v>90</v>
      </c>
      <c r="E75" s="19">
        <v>5915</v>
      </c>
      <c r="F75" s="20">
        <v>93275</v>
      </c>
      <c r="G75" s="29"/>
      <c r="H75" s="33"/>
      <c r="I75" s="33"/>
      <c r="J75" s="29" t="s">
        <v>75</v>
      </c>
      <c r="AA75" t="str">
        <f t="shared" si="1"/>
        <v>Corn</v>
      </c>
    </row>
    <row r="76" ht="30" customHeight="1" spans="1:27">
      <c r="A76" s="29" t="s">
        <v>25</v>
      </c>
      <c r="B76" s="29" t="s">
        <v>61</v>
      </c>
      <c r="C76" s="13" t="s">
        <v>76</v>
      </c>
      <c r="D76" s="29" t="s">
        <v>70</v>
      </c>
      <c r="E76" s="23">
        <v>47074.1454</v>
      </c>
      <c r="F76" s="20"/>
      <c r="G76" s="29"/>
      <c r="H76" s="33"/>
      <c r="I76" s="29"/>
      <c r="J76" s="29" t="s">
        <v>64</v>
      </c>
      <c r="AA76" t="str">
        <f t="shared" si="1"/>
        <v>Rice</v>
      </c>
    </row>
    <row r="77" spans="1:27">
      <c r="A77" s="29" t="s">
        <v>25</v>
      </c>
      <c r="B77" s="29" t="s">
        <v>61</v>
      </c>
      <c r="C77" s="13" t="s">
        <v>76</v>
      </c>
      <c r="D77" s="29" t="s">
        <v>91</v>
      </c>
      <c r="E77" s="19">
        <v>2200</v>
      </c>
      <c r="F77" s="20"/>
      <c r="G77" s="29"/>
      <c r="H77" s="33"/>
      <c r="I77" s="29"/>
      <c r="J77" s="29" t="s">
        <v>75</v>
      </c>
      <c r="AA77" t="str">
        <f t="shared" si="1"/>
        <v>Corn</v>
      </c>
    </row>
    <row r="78" ht="30" spans="1:27">
      <c r="A78" s="29" t="s">
        <v>25</v>
      </c>
      <c r="B78" s="29" t="s">
        <v>61</v>
      </c>
      <c r="C78" s="13" t="s">
        <v>76</v>
      </c>
      <c r="D78" s="29" t="s">
        <v>71</v>
      </c>
      <c r="E78" s="23">
        <v>3113.5564</v>
      </c>
      <c r="F78" s="20"/>
      <c r="G78" s="29"/>
      <c r="H78" s="33"/>
      <c r="I78" s="29"/>
      <c r="J78" s="29" t="s">
        <v>64</v>
      </c>
      <c r="AA78" t="str">
        <f t="shared" si="1"/>
        <v>Rice</v>
      </c>
    </row>
    <row r="79" ht="30" customHeight="1" spans="1:27">
      <c r="A79" s="29" t="s">
        <v>25</v>
      </c>
      <c r="B79" s="29" t="s">
        <v>61</v>
      </c>
      <c r="C79" s="13" t="s">
        <v>76</v>
      </c>
      <c r="D79" s="29" t="s">
        <v>92</v>
      </c>
      <c r="E79" s="19">
        <v>318.75</v>
      </c>
      <c r="F79" s="20"/>
      <c r="G79" s="29"/>
      <c r="H79" s="33"/>
      <c r="I79" s="29"/>
      <c r="J79" s="29" t="s">
        <v>35</v>
      </c>
      <c r="AA79" t="str">
        <f t="shared" si="1"/>
        <v>High Value Crops (Vegetables/Fruits/Rootcrops)</v>
      </c>
    </row>
    <row r="80" ht="30" customHeight="1" spans="1:27">
      <c r="A80" s="29" t="s">
        <v>25</v>
      </c>
      <c r="B80" s="29" t="s">
        <v>61</v>
      </c>
      <c r="C80" s="13" t="s">
        <v>76</v>
      </c>
      <c r="D80" s="29" t="s">
        <v>93</v>
      </c>
      <c r="E80" s="19">
        <v>1100</v>
      </c>
      <c r="F80" s="20"/>
      <c r="G80" s="29"/>
      <c r="H80" s="33"/>
      <c r="I80" s="29"/>
      <c r="J80" s="29" t="s">
        <v>67</v>
      </c>
      <c r="AA80" t="str">
        <f t="shared" si="1"/>
        <v>Rice</v>
      </c>
    </row>
    <row r="81" ht="30" customHeight="1" spans="1:27">
      <c r="A81" s="29" t="s">
        <v>25</v>
      </c>
      <c r="B81" s="29" t="s">
        <v>61</v>
      </c>
      <c r="C81" s="13" t="s">
        <v>76</v>
      </c>
      <c r="D81" s="29" t="s">
        <v>94</v>
      </c>
      <c r="E81" s="19">
        <v>2000</v>
      </c>
      <c r="F81" s="20"/>
      <c r="G81" s="29"/>
      <c r="H81" s="33"/>
      <c r="I81" s="29"/>
      <c r="J81" s="29" t="s">
        <v>75</v>
      </c>
      <c r="AA81" t="str">
        <f t="shared" si="1"/>
        <v>Corn</v>
      </c>
    </row>
    <row r="82" ht="30" customHeight="1" spans="1:27">
      <c r="A82" s="29" t="s">
        <v>25</v>
      </c>
      <c r="B82" s="29" t="s">
        <v>61</v>
      </c>
      <c r="C82" s="13" t="s">
        <v>76</v>
      </c>
      <c r="D82" s="29" t="s">
        <v>95</v>
      </c>
      <c r="E82" s="19">
        <v>1000</v>
      </c>
      <c r="F82" s="20"/>
      <c r="G82" s="29"/>
      <c r="H82" s="33"/>
      <c r="I82" s="29"/>
      <c r="J82" s="29" t="s">
        <v>96</v>
      </c>
      <c r="AA82" t="str">
        <f t="shared" si="1"/>
        <v>Corn</v>
      </c>
    </row>
    <row r="83" ht="30" customHeight="1" spans="1:27">
      <c r="A83" s="29" t="s">
        <v>25</v>
      </c>
      <c r="B83" s="29" t="s">
        <v>61</v>
      </c>
      <c r="C83" s="13" t="s">
        <v>76</v>
      </c>
      <c r="D83" s="29" t="s">
        <v>97</v>
      </c>
      <c r="E83" s="19">
        <v>187.5</v>
      </c>
      <c r="F83" s="20"/>
      <c r="G83" s="29"/>
      <c r="H83" s="33"/>
      <c r="I83" s="29"/>
      <c r="J83" s="29" t="s">
        <v>75</v>
      </c>
      <c r="AA83" t="str">
        <f t="shared" si="1"/>
        <v>Corn</v>
      </c>
    </row>
    <row r="84" ht="30" customHeight="1" spans="1:27">
      <c r="A84" s="29" t="s">
        <v>25</v>
      </c>
      <c r="B84" s="29" t="s">
        <v>61</v>
      </c>
      <c r="C84" s="13" t="s">
        <v>76</v>
      </c>
      <c r="D84" s="29" t="s">
        <v>98</v>
      </c>
      <c r="E84" s="19">
        <v>90</v>
      </c>
      <c r="F84" s="20"/>
      <c r="G84" s="29"/>
      <c r="H84" s="33"/>
      <c r="I84" s="29"/>
      <c r="J84" s="29" t="s">
        <v>35</v>
      </c>
      <c r="AA84" t="str">
        <f t="shared" si="1"/>
        <v>High Value Crops (Vegetables/Fruits/Rootcrops)</v>
      </c>
    </row>
    <row r="85" ht="30" customHeight="1" spans="1:27">
      <c r="A85" s="29" t="s">
        <v>25</v>
      </c>
      <c r="B85" s="29" t="s">
        <v>61</v>
      </c>
      <c r="C85" s="13" t="s">
        <v>76</v>
      </c>
      <c r="D85" s="29" t="s">
        <v>99</v>
      </c>
      <c r="E85" s="19">
        <v>3107.5</v>
      </c>
      <c r="F85" s="20"/>
      <c r="G85" s="29"/>
      <c r="H85" s="33"/>
      <c r="I85" s="29"/>
      <c r="J85" s="29" t="s">
        <v>75</v>
      </c>
      <c r="AA85" t="str">
        <f t="shared" si="1"/>
        <v>Corn</v>
      </c>
    </row>
    <row r="86" ht="30" spans="1:27">
      <c r="A86" s="29" t="s">
        <v>25</v>
      </c>
      <c r="B86" s="29" t="s">
        <v>61</v>
      </c>
      <c r="C86" s="13" t="s">
        <v>76</v>
      </c>
      <c r="D86" s="29" t="s">
        <v>100</v>
      </c>
      <c r="E86" s="19">
        <v>1500</v>
      </c>
      <c r="F86" s="20"/>
      <c r="G86" s="29"/>
      <c r="H86" s="33"/>
      <c r="I86" s="29"/>
      <c r="J86" s="29" t="s">
        <v>67</v>
      </c>
      <c r="AA86" t="str">
        <f t="shared" si="1"/>
        <v>Rice</v>
      </c>
    </row>
    <row r="87" ht="30" customHeight="1" spans="1:27">
      <c r="A87" s="29" t="s">
        <v>25</v>
      </c>
      <c r="B87" s="29" t="s">
        <v>61</v>
      </c>
      <c r="C87" s="13" t="s">
        <v>76</v>
      </c>
      <c r="D87" s="29" t="s">
        <v>101</v>
      </c>
      <c r="E87" s="19">
        <v>1500</v>
      </c>
      <c r="F87" s="20"/>
      <c r="G87" s="29"/>
      <c r="H87" s="33"/>
      <c r="I87" s="29"/>
      <c r="J87" s="29" t="s">
        <v>67</v>
      </c>
      <c r="AA87" t="str">
        <f t="shared" si="1"/>
        <v>Rice</v>
      </c>
    </row>
    <row r="88" ht="30" customHeight="1" spans="1:27">
      <c r="A88" s="29" t="s">
        <v>25</v>
      </c>
      <c r="B88" s="29" t="s">
        <v>61</v>
      </c>
      <c r="C88" s="13" t="s">
        <v>76</v>
      </c>
      <c r="D88" s="29" t="s">
        <v>36</v>
      </c>
      <c r="E88" s="19">
        <v>750</v>
      </c>
      <c r="F88" s="20"/>
      <c r="G88" s="29"/>
      <c r="H88" s="33"/>
      <c r="I88" s="29"/>
      <c r="J88" s="29" t="s">
        <v>35</v>
      </c>
      <c r="AA88" t="str">
        <f t="shared" si="1"/>
        <v>High Value Crops (Vegetables/Fruits/Rootcrops)</v>
      </c>
    </row>
    <row r="89" spans="1:27">
      <c r="A89" s="29" t="s">
        <v>25</v>
      </c>
      <c r="B89" s="29" t="s">
        <v>61</v>
      </c>
      <c r="C89" s="13" t="s">
        <v>76</v>
      </c>
      <c r="D89" s="29" t="s">
        <v>102</v>
      </c>
      <c r="E89" s="19">
        <v>150</v>
      </c>
      <c r="F89" s="20"/>
      <c r="G89" s="29"/>
      <c r="H89" s="33"/>
      <c r="I89" s="29"/>
      <c r="J89" s="29" t="s">
        <v>75</v>
      </c>
      <c r="AA89" t="str">
        <f t="shared" si="1"/>
        <v>Corn</v>
      </c>
    </row>
    <row r="90" ht="30" customHeight="1" spans="1:27">
      <c r="A90" s="29" t="s">
        <v>25</v>
      </c>
      <c r="B90" s="29" t="s">
        <v>61</v>
      </c>
      <c r="C90" s="13" t="s">
        <v>76</v>
      </c>
      <c r="D90" s="29" t="s">
        <v>103</v>
      </c>
      <c r="E90" s="19">
        <v>550</v>
      </c>
      <c r="F90" s="20"/>
      <c r="G90" s="29"/>
      <c r="H90" s="33"/>
      <c r="I90" s="29"/>
      <c r="J90" s="29" t="s">
        <v>75</v>
      </c>
      <c r="AA90" t="str">
        <f t="shared" si="1"/>
        <v>Corn</v>
      </c>
    </row>
    <row r="91" ht="30" customHeight="1" spans="1:27">
      <c r="A91" s="29" t="s">
        <v>25</v>
      </c>
      <c r="B91" s="29" t="s">
        <v>61</v>
      </c>
      <c r="C91" s="13" t="s">
        <v>76</v>
      </c>
      <c r="D91" s="29" t="s">
        <v>74</v>
      </c>
      <c r="E91" s="19">
        <v>6825</v>
      </c>
      <c r="F91" s="20"/>
      <c r="G91" s="29"/>
      <c r="H91" s="33"/>
      <c r="I91" s="29"/>
      <c r="J91" s="29" t="s">
        <v>75</v>
      </c>
      <c r="AA91" t="str">
        <f t="shared" si="1"/>
        <v>Corn</v>
      </c>
    </row>
    <row r="92" ht="30" customHeight="1" spans="1:27">
      <c r="A92" s="29" t="s">
        <v>25</v>
      </c>
      <c r="B92" s="29" t="s">
        <v>61</v>
      </c>
      <c r="C92" s="13" t="s">
        <v>104</v>
      </c>
      <c r="D92" s="30" t="s">
        <v>105</v>
      </c>
      <c r="E92" s="19"/>
      <c r="F92" s="20">
        <v>24000</v>
      </c>
      <c r="G92" s="29"/>
      <c r="H92" s="29"/>
      <c r="I92" s="29"/>
      <c r="J92" s="29" t="s">
        <v>29</v>
      </c>
      <c r="AA92" t="str">
        <f t="shared" si="1"/>
        <v>Farm-to-Market Road</v>
      </c>
    </row>
    <row r="93" ht="30" customHeight="1" spans="1:27">
      <c r="A93" s="29" t="s">
        <v>25</v>
      </c>
      <c r="B93" s="29" t="s">
        <v>61</v>
      </c>
      <c r="C93" s="13" t="s">
        <v>104</v>
      </c>
      <c r="D93" s="30" t="s">
        <v>106</v>
      </c>
      <c r="E93" s="19"/>
      <c r="F93" s="20">
        <v>15000</v>
      </c>
      <c r="G93" s="29"/>
      <c r="H93" s="29"/>
      <c r="I93" s="29"/>
      <c r="J93" s="29" t="s">
        <v>29</v>
      </c>
      <c r="AA93" t="str">
        <f t="shared" si="1"/>
        <v>Farm-to-Market Road</v>
      </c>
    </row>
    <row r="94" ht="45" customHeight="1" spans="1:27">
      <c r="A94" s="29" t="s">
        <v>25</v>
      </c>
      <c r="B94" s="29" t="s">
        <v>61</v>
      </c>
      <c r="C94" s="13" t="s">
        <v>104</v>
      </c>
      <c r="D94" s="30" t="s">
        <v>107</v>
      </c>
      <c r="E94" s="19">
        <v>15000</v>
      </c>
      <c r="F94" s="20"/>
      <c r="G94" s="29"/>
      <c r="H94" s="29"/>
      <c r="I94" s="29"/>
      <c r="J94" s="29" t="s">
        <v>29</v>
      </c>
      <c r="AA94" t="str">
        <f t="shared" si="1"/>
        <v>Farm-to-Market Road</v>
      </c>
    </row>
    <row r="95" ht="30" customHeight="1" spans="1:27">
      <c r="A95" s="29" t="s">
        <v>25</v>
      </c>
      <c r="B95" s="29" t="s">
        <v>61</v>
      </c>
      <c r="C95" s="13" t="s">
        <v>104</v>
      </c>
      <c r="D95" s="29" t="s">
        <v>108</v>
      </c>
      <c r="E95" s="19">
        <v>400</v>
      </c>
      <c r="F95" s="20"/>
      <c r="G95" s="29"/>
      <c r="H95" s="33"/>
      <c r="I95" s="29"/>
      <c r="J95" s="29" t="s">
        <v>96</v>
      </c>
      <c r="AA95" t="str">
        <f t="shared" si="1"/>
        <v>Corn</v>
      </c>
    </row>
    <row r="96" ht="30" customHeight="1" spans="1:27">
      <c r="A96" s="29" t="s">
        <v>25</v>
      </c>
      <c r="B96" s="29" t="s">
        <v>61</v>
      </c>
      <c r="C96" s="13" t="s">
        <v>104</v>
      </c>
      <c r="D96" s="29" t="s">
        <v>63</v>
      </c>
      <c r="E96" s="23">
        <v>20432.1804</v>
      </c>
      <c r="F96" s="24">
        <v>2514.7299</v>
      </c>
      <c r="G96" s="29"/>
      <c r="H96" s="33"/>
      <c r="I96" s="33"/>
      <c r="J96" s="29" t="s">
        <v>64</v>
      </c>
      <c r="AA96" t="str">
        <f t="shared" si="1"/>
        <v>Rice</v>
      </c>
    </row>
    <row r="97" ht="30" customHeight="1" spans="1:27">
      <c r="A97" s="29" t="s">
        <v>25</v>
      </c>
      <c r="B97" s="29" t="s">
        <v>61</v>
      </c>
      <c r="C97" s="13" t="s">
        <v>104</v>
      </c>
      <c r="D97" s="29" t="s">
        <v>70</v>
      </c>
      <c r="E97" s="23">
        <v>91944.8117</v>
      </c>
      <c r="F97" s="20"/>
      <c r="G97" s="29"/>
      <c r="H97" s="33"/>
      <c r="I97" s="29"/>
      <c r="J97" s="29" t="s">
        <v>64</v>
      </c>
      <c r="AA97" t="str">
        <f t="shared" si="1"/>
        <v>Rice</v>
      </c>
    </row>
    <row r="98" ht="30" customHeight="1" spans="1:27">
      <c r="A98" s="29" t="s">
        <v>25</v>
      </c>
      <c r="B98" s="29" t="s">
        <v>61</v>
      </c>
      <c r="C98" s="13" t="s">
        <v>104</v>
      </c>
      <c r="D98" s="29" t="s">
        <v>109</v>
      </c>
      <c r="E98" s="19">
        <v>6800</v>
      </c>
      <c r="F98" s="20"/>
      <c r="G98" s="29"/>
      <c r="H98" s="33"/>
      <c r="I98" s="29"/>
      <c r="J98" s="29" t="s">
        <v>67</v>
      </c>
      <c r="AA98" t="str">
        <f t="shared" si="1"/>
        <v>Rice</v>
      </c>
    </row>
    <row r="99" ht="30" customHeight="1" spans="1:27">
      <c r="A99" s="29" t="s">
        <v>25</v>
      </c>
      <c r="B99" s="29" t="s">
        <v>61</v>
      </c>
      <c r="C99" s="13" t="s">
        <v>104</v>
      </c>
      <c r="D99" s="29" t="s">
        <v>71</v>
      </c>
      <c r="E99" s="23">
        <v>6081.3713</v>
      </c>
      <c r="F99" s="20"/>
      <c r="G99" s="29"/>
      <c r="H99" s="33"/>
      <c r="I99" s="29"/>
      <c r="J99" s="29" t="s">
        <v>64</v>
      </c>
      <c r="AA99" t="str">
        <f t="shared" si="1"/>
        <v>Rice</v>
      </c>
    </row>
    <row r="100" ht="30" customHeight="1" spans="1:27">
      <c r="A100" s="29" t="s">
        <v>25</v>
      </c>
      <c r="B100" s="29" t="s">
        <v>61</v>
      </c>
      <c r="C100" s="13" t="s">
        <v>104</v>
      </c>
      <c r="D100" s="29" t="s">
        <v>110</v>
      </c>
      <c r="E100" s="19">
        <v>2700</v>
      </c>
      <c r="F100" s="20"/>
      <c r="G100" s="29"/>
      <c r="H100" s="33"/>
      <c r="I100" s="29"/>
      <c r="J100" s="29" t="s">
        <v>75</v>
      </c>
      <c r="AA100" t="str">
        <f t="shared" si="1"/>
        <v>Corn</v>
      </c>
    </row>
    <row r="101" ht="30" customHeight="1" spans="1:27">
      <c r="A101" s="29" t="s">
        <v>25</v>
      </c>
      <c r="B101" s="29" t="s">
        <v>61</v>
      </c>
      <c r="C101" s="13" t="s">
        <v>111</v>
      </c>
      <c r="D101" s="29" t="s">
        <v>77</v>
      </c>
      <c r="E101" s="19">
        <v>1000</v>
      </c>
      <c r="F101" s="20"/>
      <c r="G101" s="29"/>
      <c r="H101" s="33"/>
      <c r="I101" s="29"/>
      <c r="J101" s="29" t="s">
        <v>75</v>
      </c>
      <c r="AA101" t="str">
        <f t="shared" si="1"/>
        <v>Corn</v>
      </c>
    </row>
    <row r="102" ht="45" customHeight="1" spans="1:27">
      <c r="A102" s="29" t="s">
        <v>25</v>
      </c>
      <c r="B102" s="29" t="s">
        <v>61</v>
      </c>
      <c r="C102" s="13" t="s">
        <v>111</v>
      </c>
      <c r="D102" s="29" t="s">
        <v>78</v>
      </c>
      <c r="E102" s="19">
        <v>310</v>
      </c>
      <c r="F102" s="20"/>
      <c r="G102" s="29"/>
      <c r="H102" s="33"/>
      <c r="I102" s="29"/>
      <c r="J102" s="29" t="s">
        <v>75</v>
      </c>
      <c r="AA102" t="str">
        <f t="shared" si="1"/>
        <v>Corn</v>
      </c>
    </row>
    <row r="103" ht="30" customHeight="1" spans="1:27">
      <c r="A103" s="29" t="s">
        <v>25</v>
      </c>
      <c r="B103" s="29" t="s">
        <v>61</v>
      </c>
      <c r="C103" s="13" t="s">
        <v>111</v>
      </c>
      <c r="D103" s="29" t="s">
        <v>112</v>
      </c>
      <c r="E103" s="19">
        <v>2100</v>
      </c>
      <c r="F103" s="20"/>
      <c r="G103" s="29"/>
      <c r="H103" s="33"/>
      <c r="I103" s="29"/>
      <c r="J103" s="29" t="s">
        <v>96</v>
      </c>
      <c r="AA103" t="str">
        <f t="shared" si="1"/>
        <v>Corn</v>
      </c>
    </row>
    <row r="104" ht="30" customHeight="1" spans="1:27">
      <c r="A104" s="29" t="s">
        <v>25</v>
      </c>
      <c r="B104" s="29" t="s">
        <v>61</v>
      </c>
      <c r="C104" s="13" t="s">
        <v>111</v>
      </c>
      <c r="D104" s="30" t="s">
        <v>113</v>
      </c>
      <c r="E104" s="19">
        <v>43500</v>
      </c>
      <c r="F104" s="20"/>
      <c r="G104" s="29"/>
      <c r="H104" s="29"/>
      <c r="I104" s="29"/>
      <c r="J104" s="29" t="s">
        <v>29</v>
      </c>
      <c r="AA104" t="str">
        <f t="shared" si="1"/>
        <v>Farm-to-Market Road</v>
      </c>
    </row>
    <row r="105" ht="30" customHeight="1" spans="1:27">
      <c r="A105" s="29" t="s">
        <v>25</v>
      </c>
      <c r="B105" s="29" t="s">
        <v>61</v>
      </c>
      <c r="C105" s="13" t="s">
        <v>111</v>
      </c>
      <c r="D105" s="29" t="s">
        <v>114</v>
      </c>
      <c r="E105" s="19">
        <v>2100</v>
      </c>
      <c r="F105" s="20"/>
      <c r="G105" s="29"/>
      <c r="H105" s="33"/>
      <c r="I105" s="29"/>
      <c r="J105" s="29" t="s">
        <v>75</v>
      </c>
      <c r="AA105" t="str">
        <f t="shared" si="1"/>
        <v>Corn</v>
      </c>
    </row>
    <row r="106" ht="45" customHeight="1" spans="1:27">
      <c r="A106" s="29" t="s">
        <v>25</v>
      </c>
      <c r="B106" s="29" t="s">
        <v>61</v>
      </c>
      <c r="C106" s="13" t="s">
        <v>111</v>
      </c>
      <c r="D106" s="29" t="s">
        <v>115</v>
      </c>
      <c r="E106" s="23">
        <v>17931.0081</v>
      </c>
      <c r="F106" s="24">
        <v>2206.8933</v>
      </c>
      <c r="G106" s="29"/>
      <c r="H106" s="33"/>
      <c r="I106" s="33"/>
      <c r="J106" s="29" t="s">
        <v>64</v>
      </c>
      <c r="AA106" t="str">
        <f t="shared" si="1"/>
        <v>Rice</v>
      </c>
    </row>
    <row r="107" ht="30" customHeight="1" spans="1:27">
      <c r="A107" s="29" t="s">
        <v>25</v>
      </c>
      <c r="B107" s="29" t="s">
        <v>61</v>
      </c>
      <c r="C107" s="13" t="s">
        <v>111</v>
      </c>
      <c r="D107" s="29" t="s">
        <v>116</v>
      </c>
      <c r="E107" s="19">
        <v>3200</v>
      </c>
      <c r="F107" s="20"/>
      <c r="G107" s="29"/>
      <c r="H107" s="33"/>
      <c r="I107" s="29"/>
      <c r="J107" s="29" t="s">
        <v>96</v>
      </c>
      <c r="AA107" t="str">
        <f t="shared" si="1"/>
        <v>Corn</v>
      </c>
    </row>
    <row r="108" ht="30" customHeight="1" spans="1:27">
      <c r="A108" s="29" t="s">
        <v>25</v>
      </c>
      <c r="B108" s="29" t="s">
        <v>61</v>
      </c>
      <c r="C108" s="13" t="s">
        <v>111</v>
      </c>
      <c r="D108" s="29" t="s">
        <v>117</v>
      </c>
      <c r="E108" s="19">
        <v>3100</v>
      </c>
      <c r="F108" s="20"/>
      <c r="G108" s="29"/>
      <c r="H108" s="33"/>
      <c r="I108" s="29"/>
      <c r="J108" s="29" t="s">
        <v>75</v>
      </c>
      <c r="AA108" t="str">
        <f t="shared" si="1"/>
        <v>Corn</v>
      </c>
    </row>
    <row r="109" ht="30" customHeight="1" spans="1:27">
      <c r="A109" s="29" t="s">
        <v>25</v>
      </c>
      <c r="B109" s="29" t="s">
        <v>61</v>
      </c>
      <c r="C109" s="13" t="s">
        <v>111</v>
      </c>
      <c r="D109" s="29" t="s">
        <v>90</v>
      </c>
      <c r="E109" s="19">
        <v>53604</v>
      </c>
      <c r="F109" s="20">
        <v>79404</v>
      </c>
      <c r="G109" s="29"/>
      <c r="H109" s="33"/>
      <c r="I109" s="33"/>
      <c r="J109" s="29" t="s">
        <v>75</v>
      </c>
      <c r="AA109" t="str">
        <f t="shared" si="1"/>
        <v>Corn</v>
      </c>
    </row>
    <row r="110" ht="30" customHeight="1" spans="1:27">
      <c r="A110" s="29" t="s">
        <v>25</v>
      </c>
      <c r="B110" s="29" t="s">
        <v>61</v>
      </c>
      <c r="C110" s="13" t="s">
        <v>111</v>
      </c>
      <c r="D110" s="29" t="s">
        <v>70</v>
      </c>
      <c r="E110" s="23">
        <v>80689.5365</v>
      </c>
      <c r="F110" s="20"/>
      <c r="G110" s="29"/>
      <c r="H110" s="33"/>
      <c r="I110" s="29"/>
      <c r="J110" s="29" t="s">
        <v>64</v>
      </c>
      <c r="AA110" t="str">
        <f t="shared" si="1"/>
        <v>Rice</v>
      </c>
    </row>
    <row r="111" ht="30" customHeight="1" spans="1:27">
      <c r="A111" s="29" t="s">
        <v>25</v>
      </c>
      <c r="B111" s="29" t="s">
        <v>61</v>
      </c>
      <c r="C111" s="13" t="s">
        <v>111</v>
      </c>
      <c r="D111" s="29" t="s">
        <v>118</v>
      </c>
      <c r="E111" s="19">
        <v>1200</v>
      </c>
      <c r="F111" s="20"/>
      <c r="G111" s="29"/>
      <c r="H111" s="33"/>
      <c r="I111" s="29"/>
      <c r="J111" s="29" t="s">
        <v>75</v>
      </c>
      <c r="AA111" t="str">
        <f t="shared" si="1"/>
        <v>Corn</v>
      </c>
    </row>
    <row r="112" ht="30" customHeight="1" spans="1:27">
      <c r="A112" s="29" t="s">
        <v>25</v>
      </c>
      <c r="B112" s="29" t="s">
        <v>61</v>
      </c>
      <c r="C112" s="13" t="s">
        <v>111</v>
      </c>
      <c r="D112" s="29" t="s">
        <v>91</v>
      </c>
      <c r="E112" s="19">
        <v>2475</v>
      </c>
      <c r="F112" s="20"/>
      <c r="G112" s="29"/>
      <c r="H112" s="33"/>
      <c r="I112" s="29"/>
      <c r="J112" s="29" t="s">
        <v>75</v>
      </c>
      <c r="AA112" t="str">
        <f t="shared" si="1"/>
        <v>Corn</v>
      </c>
    </row>
    <row r="113" ht="30" customHeight="1" spans="1:27">
      <c r="A113" s="29" t="s">
        <v>25</v>
      </c>
      <c r="B113" s="29" t="s">
        <v>61</v>
      </c>
      <c r="C113" s="13" t="s">
        <v>111</v>
      </c>
      <c r="D113" s="29" t="s">
        <v>71</v>
      </c>
      <c r="E113" s="23">
        <v>5336.9301</v>
      </c>
      <c r="F113" s="20"/>
      <c r="G113" s="29"/>
      <c r="H113" s="33"/>
      <c r="I113" s="29"/>
      <c r="J113" s="29" t="s">
        <v>64</v>
      </c>
      <c r="AA113" t="str">
        <f t="shared" si="1"/>
        <v>Rice</v>
      </c>
    </row>
    <row r="114" ht="30" customHeight="1" spans="1:27">
      <c r="A114" s="29" t="s">
        <v>25</v>
      </c>
      <c r="B114" s="29" t="s">
        <v>61</v>
      </c>
      <c r="C114" s="13" t="s">
        <v>111</v>
      </c>
      <c r="D114" s="29" t="s">
        <v>119</v>
      </c>
      <c r="E114" s="19">
        <v>200</v>
      </c>
      <c r="F114" s="20"/>
      <c r="G114" s="29"/>
      <c r="H114" s="33"/>
      <c r="I114" s="29"/>
      <c r="J114" s="29" t="s">
        <v>96</v>
      </c>
      <c r="AA114" t="str">
        <f t="shared" si="1"/>
        <v>Corn</v>
      </c>
    </row>
    <row r="115" ht="30" customHeight="1" spans="1:27">
      <c r="A115" s="29" t="s">
        <v>25</v>
      </c>
      <c r="B115" s="29" t="s">
        <v>61</v>
      </c>
      <c r="C115" s="13" t="s">
        <v>111</v>
      </c>
      <c r="D115" s="29" t="s">
        <v>120</v>
      </c>
      <c r="E115" s="19">
        <v>200</v>
      </c>
      <c r="F115" s="20"/>
      <c r="G115" s="29"/>
      <c r="H115" s="33"/>
      <c r="I115" s="29"/>
      <c r="J115" s="29" t="s">
        <v>75</v>
      </c>
      <c r="AA115" t="str">
        <f t="shared" si="1"/>
        <v>Corn</v>
      </c>
    </row>
    <row r="116" ht="45" customHeight="1" spans="1:27">
      <c r="A116" s="29" t="s">
        <v>25</v>
      </c>
      <c r="B116" s="29" t="s">
        <v>61</v>
      </c>
      <c r="C116" s="13" t="s">
        <v>111</v>
      </c>
      <c r="D116" s="29" t="s">
        <v>121</v>
      </c>
      <c r="E116" s="19">
        <v>3000</v>
      </c>
      <c r="F116" s="20">
        <v>3000</v>
      </c>
      <c r="G116" s="29"/>
      <c r="H116" s="33"/>
      <c r="I116" s="33"/>
      <c r="J116" s="29" t="s">
        <v>75</v>
      </c>
      <c r="AA116" t="str">
        <f t="shared" si="1"/>
        <v>Corn</v>
      </c>
    </row>
    <row r="117" ht="30" customHeight="1" spans="1:27">
      <c r="A117" s="29" t="s">
        <v>25</v>
      </c>
      <c r="B117" s="29" t="s">
        <v>61</v>
      </c>
      <c r="C117" s="13" t="s">
        <v>111</v>
      </c>
      <c r="D117" s="29" t="s">
        <v>122</v>
      </c>
      <c r="E117" s="19">
        <v>1250</v>
      </c>
      <c r="F117" s="20"/>
      <c r="G117" s="29"/>
      <c r="H117" s="33"/>
      <c r="I117" s="29"/>
      <c r="J117" s="29" t="s">
        <v>96</v>
      </c>
      <c r="AA117" t="str">
        <f t="shared" si="1"/>
        <v>Corn</v>
      </c>
    </row>
    <row r="118" ht="30" customHeight="1" spans="1:27">
      <c r="A118" s="29" t="s">
        <v>25</v>
      </c>
      <c r="B118" s="29" t="s">
        <v>61</v>
      </c>
      <c r="C118" s="13" t="s">
        <v>111</v>
      </c>
      <c r="D118" s="29" t="s">
        <v>123</v>
      </c>
      <c r="E118" s="19">
        <v>2450</v>
      </c>
      <c r="F118" s="20"/>
      <c r="G118" s="29"/>
      <c r="H118" s="33"/>
      <c r="I118" s="29"/>
      <c r="J118" s="29" t="s">
        <v>64</v>
      </c>
      <c r="AA118" t="str">
        <f t="shared" si="1"/>
        <v>Rice</v>
      </c>
    </row>
    <row r="119" ht="30" customHeight="1" spans="1:27">
      <c r="A119" s="29" t="s">
        <v>25</v>
      </c>
      <c r="B119" s="29" t="s">
        <v>61</v>
      </c>
      <c r="C119" s="13" t="s">
        <v>111</v>
      </c>
      <c r="D119" s="29" t="s">
        <v>74</v>
      </c>
      <c r="E119" s="19">
        <v>9135</v>
      </c>
      <c r="F119" s="20"/>
      <c r="G119" s="29"/>
      <c r="H119" s="33"/>
      <c r="I119" s="29"/>
      <c r="J119" s="29" t="s">
        <v>75</v>
      </c>
      <c r="AA119" t="str">
        <f t="shared" si="1"/>
        <v>Corn</v>
      </c>
    </row>
    <row r="120" ht="30" customHeight="1" spans="1:27">
      <c r="A120" s="29" t="s">
        <v>25</v>
      </c>
      <c r="B120" s="29" t="s">
        <v>61</v>
      </c>
      <c r="C120" s="13" t="s">
        <v>124</v>
      </c>
      <c r="D120" s="29" t="s">
        <v>125</v>
      </c>
      <c r="E120" s="19">
        <v>1320</v>
      </c>
      <c r="F120" s="20"/>
      <c r="G120" s="29"/>
      <c r="H120" s="33"/>
      <c r="I120" s="29"/>
      <c r="J120" s="29" t="s">
        <v>75</v>
      </c>
      <c r="AA120" t="str">
        <f t="shared" si="1"/>
        <v>Corn</v>
      </c>
    </row>
    <row r="121" ht="30" customHeight="1" spans="1:27">
      <c r="A121" s="29" t="s">
        <v>25</v>
      </c>
      <c r="B121" s="29" t="s">
        <v>61</v>
      </c>
      <c r="C121" s="13" t="s">
        <v>124</v>
      </c>
      <c r="D121" s="30" t="s">
        <v>126</v>
      </c>
      <c r="E121" s="19">
        <v>61500</v>
      </c>
      <c r="F121" s="20"/>
      <c r="G121" s="29"/>
      <c r="H121" s="29"/>
      <c r="I121" s="29"/>
      <c r="J121" s="29" t="s">
        <v>29</v>
      </c>
      <c r="AA121" t="str">
        <f t="shared" si="1"/>
        <v>Farm-to-Market Road</v>
      </c>
    </row>
    <row r="122" ht="30" customHeight="1" spans="1:27">
      <c r="A122" s="29" t="s">
        <v>25</v>
      </c>
      <c r="B122" s="29" t="s">
        <v>61</v>
      </c>
      <c r="C122" s="13" t="s">
        <v>124</v>
      </c>
      <c r="D122" s="29" t="s">
        <v>108</v>
      </c>
      <c r="E122" s="19">
        <v>400</v>
      </c>
      <c r="F122" s="20"/>
      <c r="G122" s="29"/>
      <c r="H122" s="33"/>
      <c r="I122" s="29"/>
      <c r="J122" s="29" t="s">
        <v>96</v>
      </c>
      <c r="AA122" t="str">
        <f t="shared" si="1"/>
        <v>Corn</v>
      </c>
    </row>
    <row r="123" ht="30" customHeight="1" spans="1:27">
      <c r="A123" s="29" t="s">
        <v>25</v>
      </c>
      <c r="B123" s="29" t="s">
        <v>61</v>
      </c>
      <c r="C123" s="13" t="s">
        <v>124</v>
      </c>
      <c r="D123" s="29" t="s">
        <v>90</v>
      </c>
      <c r="E123" s="19"/>
      <c r="F123" s="20"/>
      <c r="G123" s="29"/>
      <c r="H123" s="33"/>
      <c r="I123" s="33"/>
      <c r="J123" s="29" t="s">
        <v>75</v>
      </c>
      <c r="AA123" t="str">
        <f t="shared" si="1"/>
        <v>Corn</v>
      </c>
    </row>
    <row r="124" ht="30" customHeight="1" spans="1:27">
      <c r="A124" s="29" t="s">
        <v>25</v>
      </c>
      <c r="B124" s="29" t="s">
        <v>61</v>
      </c>
      <c r="C124" s="13" t="s">
        <v>124</v>
      </c>
      <c r="D124" s="29" t="s">
        <v>70</v>
      </c>
      <c r="E124" s="23">
        <v>91783.2867</v>
      </c>
      <c r="F124" s="20"/>
      <c r="G124" s="29"/>
      <c r="H124" s="33"/>
      <c r="I124" s="29"/>
      <c r="J124" s="29" t="s">
        <v>64</v>
      </c>
      <c r="AA124" t="str">
        <f t="shared" si="1"/>
        <v>Rice</v>
      </c>
    </row>
    <row r="125" ht="30" customHeight="1" spans="1:27">
      <c r="A125" s="29" t="s">
        <v>25</v>
      </c>
      <c r="B125" s="29" t="s">
        <v>61</v>
      </c>
      <c r="C125" s="13" t="s">
        <v>124</v>
      </c>
      <c r="D125" s="29" t="s">
        <v>71</v>
      </c>
      <c r="E125" s="23">
        <v>6070.6878</v>
      </c>
      <c r="F125" s="20"/>
      <c r="G125" s="29"/>
      <c r="H125" s="33"/>
      <c r="I125" s="29"/>
      <c r="J125" s="29" t="s">
        <v>64</v>
      </c>
      <c r="AA125" t="str">
        <f t="shared" si="1"/>
        <v>Rice</v>
      </c>
    </row>
    <row r="126" ht="30" customHeight="1" spans="1:27">
      <c r="A126" s="29" t="s">
        <v>25</v>
      </c>
      <c r="B126" s="29" t="s">
        <v>61</v>
      </c>
      <c r="C126" s="13" t="s">
        <v>124</v>
      </c>
      <c r="D126" s="29" t="s">
        <v>127</v>
      </c>
      <c r="E126" s="19">
        <v>220</v>
      </c>
      <c r="F126" s="20"/>
      <c r="G126" s="29"/>
      <c r="H126" s="33"/>
      <c r="I126" s="29"/>
      <c r="J126" s="29" t="s">
        <v>75</v>
      </c>
      <c r="AA126" t="str">
        <f t="shared" si="1"/>
        <v>Corn</v>
      </c>
    </row>
    <row r="127" ht="30" spans="1:27">
      <c r="A127" s="29" t="s">
        <v>25</v>
      </c>
      <c r="B127" s="29" t="s">
        <v>61</v>
      </c>
      <c r="C127" s="13" t="s">
        <v>124</v>
      </c>
      <c r="D127" s="29" t="s">
        <v>128</v>
      </c>
      <c r="E127" s="19">
        <v>1100</v>
      </c>
      <c r="F127" s="20"/>
      <c r="G127" s="29"/>
      <c r="H127" s="33"/>
      <c r="I127" s="29"/>
      <c r="J127" s="29" t="s">
        <v>75</v>
      </c>
      <c r="AA127" t="str">
        <f t="shared" si="1"/>
        <v>Corn</v>
      </c>
    </row>
    <row r="128" ht="75" customHeight="1" spans="1:27">
      <c r="A128" s="29" t="s">
        <v>25</v>
      </c>
      <c r="B128" s="29" t="s">
        <v>61</v>
      </c>
      <c r="C128" s="13" t="s">
        <v>124</v>
      </c>
      <c r="D128" s="29" t="s">
        <v>110</v>
      </c>
      <c r="E128" s="19">
        <v>600</v>
      </c>
      <c r="F128" s="20"/>
      <c r="G128" s="29"/>
      <c r="H128" s="33"/>
      <c r="I128" s="29"/>
      <c r="J128" s="29" t="s">
        <v>75</v>
      </c>
      <c r="AA128" t="str">
        <f t="shared" si="1"/>
        <v>Corn</v>
      </c>
    </row>
    <row r="129" ht="45" customHeight="1" spans="1:27">
      <c r="A129" s="29" t="s">
        <v>25</v>
      </c>
      <c r="B129" s="29" t="s">
        <v>61</v>
      </c>
      <c r="C129" s="13" t="s">
        <v>124</v>
      </c>
      <c r="D129" s="29" t="s">
        <v>74</v>
      </c>
      <c r="E129" s="19"/>
      <c r="F129" s="20"/>
      <c r="G129" s="29"/>
      <c r="H129" s="33"/>
      <c r="I129" s="29"/>
      <c r="J129" s="29" t="s">
        <v>75</v>
      </c>
      <c r="AA129" t="str">
        <f t="shared" si="1"/>
        <v>Corn</v>
      </c>
    </row>
    <row r="130" ht="30" customHeight="1" spans="1:27">
      <c r="A130" s="29" t="s">
        <v>25</v>
      </c>
      <c r="B130" s="29" t="s">
        <v>61</v>
      </c>
      <c r="C130" s="13" t="s">
        <v>129</v>
      </c>
      <c r="D130" s="29" t="s">
        <v>79</v>
      </c>
      <c r="E130" s="19">
        <v>5400</v>
      </c>
      <c r="F130" s="20"/>
      <c r="G130" s="29"/>
      <c r="H130" s="33"/>
      <c r="I130" s="29"/>
      <c r="J130" s="29" t="s">
        <v>80</v>
      </c>
      <c r="AA130" t="str">
        <f t="shared" si="1"/>
        <v>Livestock (Cattle/Carabao/Swine/Poultry)</v>
      </c>
    </row>
    <row r="131" ht="30" customHeight="1" spans="1:27">
      <c r="A131" s="29" t="s">
        <v>25</v>
      </c>
      <c r="B131" s="29" t="s">
        <v>61</v>
      </c>
      <c r="C131" s="13" t="s">
        <v>129</v>
      </c>
      <c r="D131" s="29" t="s">
        <v>81</v>
      </c>
      <c r="E131" s="19">
        <v>5400</v>
      </c>
      <c r="F131" s="20"/>
      <c r="G131" s="29"/>
      <c r="H131" s="33"/>
      <c r="I131" s="29"/>
      <c r="J131" s="29" t="s">
        <v>80</v>
      </c>
      <c r="AA131" t="str">
        <f t="shared" si="1"/>
        <v>Livestock (Cattle/Carabao/Swine/Poultry)</v>
      </c>
    </row>
    <row r="132" ht="30" customHeight="1" spans="1:27">
      <c r="A132" s="29" t="s">
        <v>25</v>
      </c>
      <c r="B132" s="29" t="s">
        <v>61</v>
      </c>
      <c r="C132" s="13" t="s">
        <v>129</v>
      </c>
      <c r="D132" s="29" t="s">
        <v>112</v>
      </c>
      <c r="E132" s="19">
        <v>2100</v>
      </c>
      <c r="F132" s="20"/>
      <c r="G132" s="29"/>
      <c r="H132" s="33"/>
      <c r="I132" s="29"/>
      <c r="J132" s="29" t="s">
        <v>96</v>
      </c>
      <c r="AA132" t="str">
        <f t="shared" si="1"/>
        <v>Corn</v>
      </c>
    </row>
    <row r="133" ht="30" customHeight="1" spans="1:27">
      <c r="A133" s="29" t="s">
        <v>25</v>
      </c>
      <c r="B133" s="29" t="s">
        <v>61</v>
      </c>
      <c r="C133" s="13" t="s">
        <v>129</v>
      </c>
      <c r="D133" s="30" t="s">
        <v>130</v>
      </c>
      <c r="E133" s="19"/>
      <c r="F133" s="20">
        <v>15000</v>
      </c>
      <c r="G133" s="29"/>
      <c r="H133" s="29"/>
      <c r="I133" s="29"/>
      <c r="J133" s="29" t="s">
        <v>29</v>
      </c>
      <c r="AA133" t="str">
        <f t="shared" si="1"/>
        <v>Farm-to-Market Road</v>
      </c>
    </row>
    <row r="134" ht="60" customHeight="1" spans="1:27">
      <c r="A134" s="29" t="s">
        <v>25</v>
      </c>
      <c r="B134" s="29" t="s">
        <v>61</v>
      </c>
      <c r="C134" s="13" t="s">
        <v>129</v>
      </c>
      <c r="D134" s="30" t="s">
        <v>131</v>
      </c>
      <c r="E134" s="19"/>
      <c r="F134" s="20">
        <v>16500</v>
      </c>
      <c r="G134" s="29"/>
      <c r="H134" s="29"/>
      <c r="I134" s="29"/>
      <c r="J134" s="29" t="s">
        <v>29</v>
      </c>
      <c r="AA134" t="str">
        <f t="shared" si="1"/>
        <v>Farm-to-Market Road</v>
      </c>
    </row>
    <row r="135" ht="30" customHeight="1" spans="1:27">
      <c r="A135" s="29" t="s">
        <v>25</v>
      </c>
      <c r="B135" s="29" t="s">
        <v>61</v>
      </c>
      <c r="C135" s="13" t="s">
        <v>129</v>
      </c>
      <c r="D135" s="30" t="s">
        <v>132</v>
      </c>
      <c r="E135" s="19"/>
      <c r="F135" s="20">
        <v>15000</v>
      </c>
      <c r="G135" s="29"/>
      <c r="H135" s="29"/>
      <c r="I135" s="29"/>
      <c r="J135" s="29" t="s">
        <v>29</v>
      </c>
      <c r="AA135" t="str">
        <f t="shared" si="1"/>
        <v>Farm-to-Market Road</v>
      </c>
    </row>
    <row r="136" ht="30" customHeight="1" spans="1:27">
      <c r="A136" s="29" t="s">
        <v>25</v>
      </c>
      <c r="B136" s="29" t="s">
        <v>61</v>
      </c>
      <c r="C136" s="13" t="s">
        <v>129</v>
      </c>
      <c r="D136" s="29" t="s">
        <v>114</v>
      </c>
      <c r="E136" s="19">
        <v>2100</v>
      </c>
      <c r="F136" s="20"/>
      <c r="G136" s="29"/>
      <c r="H136" s="33"/>
      <c r="I136" s="29"/>
      <c r="J136" s="29" t="s">
        <v>75</v>
      </c>
      <c r="AA136" t="str">
        <f t="shared" si="1"/>
        <v>Corn</v>
      </c>
    </row>
    <row r="137" ht="30" customHeight="1" spans="1:27">
      <c r="A137" s="29" t="s">
        <v>25</v>
      </c>
      <c r="B137" s="29" t="s">
        <v>61</v>
      </c>
      <c r="C137" s="13" t="s">
        <v>129</v>
      </c>
      <c r="D137" s="29" t="s">
        <v>133</v>
      </c>
      <c r="E137" s="19">
        <v>2000</v>
      </c>
      <c r="F137" s="20"/>
      <c r="G137" s="29"/>
      <c r="H137" s="33"/>
      <c r="I137" s="29"/>
      <c r="J137" s="29" t="s">
        <v>134</v>
      </c>
      <c r="AA137" t="str">
        <f t="shared" si="1"/>
        <v>High Value Export Crops (Dragon Fruit/Ube/Okra/Banana)</v>
      </c>
    </row>
    <row r="138" spans="1:27">
      <c r="A138" s="29" t="s">
        <v>25</v>
      </c>
      <c r="B138" s="29" t="s">
        <v>61</v>
      </c>
      <c r="C138" s="13" t="s">
        <v>129</v>
      </c>
      <c r="D138" s="29" t="s">
        <v>90</v>
      </c>
      <c r="E138" s="19"/>
      <c r="F138" s="20"/>
      <c r="G138" s="29"/>
      <c r="H138" s="33"/>
      <c r="I138" s="33"/>
      <c r="J138" s="29" t="s">
        <v>75</v>
      </c>
      <c r="AA138" t="str">
        <f t="shared" ref="AA138:AA201" si="2">_xlfn.IFS(J138="DA-FMRDP","Farm-to-Market Road",J138="DA-RFO2 RICE","Rice",J138="DA-RFO2 Rice Program","Rice",J138="DA-RFO2 CORN","Corn",J138="DA-RFO2 Corn Program","Corn",J138="DA-RFO2 HVCDP","High Value Crops (Vegetables/Fruits/Rootcrops)",J138="DA-RFO2 HVCDP Export","High Value Export Crops (Dragon Fruit/Ube/Okra/Banana)",J138="DA-RFO2 HVCDP Coffee","Coffee (HVCDP)",J138="DA-RFO2 LIVESTOCK","Livestock (Cattle/Carabao/Swine/Poultry)",J138="DA-RFO2 SAAD","Various Commodities (SAAD)",J138="DA-RFO2 4K","Various Commodities (4Ks)",J138="DA-RFO2 4KS","Various Commodities (4Ks)",J138="DA-RFO2 HALAL","Halal Food Products",J138="DA-RFO2 OAP","Organic Agriculture",J138="DA-RFO2 NUPAP","Vegetables (NUPAP/Urban Agri)",TRUE,IF(ISNUMBER(SEARCH("FMR",D138)),"Farm-to-Market Road",IF(ISNUMBER(SEARCH("RICE",D138)),"Rice",IF(ISNUMBER(SEARCH("CORN",D138)),"Corn",IF(ISNUMBER(SEARCH("HVCDP COFFEE",D138)),"Coffee (HVCDP)",IF(ISNUMBER(SEARCH("HVCDP EXPORT",D138)),"High Value Export Crops (Dragon Fruit/Ube/Okra/Banana)",IF(ISNUMBER(SEARCH("HVCDP",D138)),"High Value Crops (Vegetables/Fruits/Rootcrops)",IF(ISNUMBER(SEARCH("LIVESTOCK",D138)),"Livestock (Cattle/Carabao/Swine/Poultry)",IF(ISNUMBER(SEARCH("SAAD",D138)),"Various Commodities (SAAD)",IF(ISNUMBER(SEARCH("4KS",D138)),"Various Commodities (4Ks)",IF(ISNUMBER(SEARCH("4K",D138)),"Various Commodities (4Ks)",IF(ISNUMBER(SEARCH("HALAL",D138)),"Halal Food Products",IF(ISNUMBER(SEARCH("OAP",D138)),"Organic Agriculture",IF(ISNUMBER(SEARCH("NUPAP",D138)),"Vegetables (NUPAP/Urban Agri)",""))))))))))))))</f>
        <v>Corn</v>
      </c>
    </row>
    <row r="139" ht="30" customHeight="1" spans="1:27">
      <c r="A139" s="29" t="s">
        <v>25</v>
      </c>
      <c r="B139" s="29" t="s">
        <v>61</v>
      </c>
      <c r="C139" s="13" t="s">
        <v>129</v>
      </c>
      <c r="D139" s="29" t="s">
        <v>70</v>
      </c>
      <c r="E139" s="23">
        <v>81801.5846</v>
      </c>
      <c r="F139" s="20"/>
      <c r="G139" s="29"/>
      <c r="H139" s="33"/>
      <c r="I139" s="29"/>
      <c r="J139" s="29" t="s">
        <v>64</v>
      </c>
      <c r="AA139" t="str">
        <f t="shared" si="2"/>
        <v>Rice</v>
      </c>
    </row>
    <row r="140" ht="30" customHeight="1" spans="1:27">
      <c r="A140" s="29" t="s">
        <v>25</v>
      </c>
      <c r="B140" s="29" t="s">
        <v>61</v>
      </c>
      <c r="C140" s="13" t="s">
        <v>129</v>
      </c>
      <c r="D140" s="29" t="s">
        <v>91</v>
      </c>
      <c r="E140" s="19">
        <v>400</v>
      </c>
      <c r="F140" s="20"/>
      <c r="G140" s="29"/>
      <c r="H140" s="33"/>
      <c r="I140" s="29"/>
      <c r="J140" s="29" t="s">
        <v>75</v>
      </c>
      <c r="AA140" t="str">
        <f t="shared" si="2"/>
        <v>Corn</v>
      </c>
    </row>
    <row r="141" ht="30" customHeight="1" spans="1:27">
      <c r="A141" s="29" t="s">
        <v>25</v>
      </c>
      <c r="B141" s="29" t="s">
        <v>61</v>
      </c>
      <c r="C141" s="13" t="s">
        <v>129</v>
      </c>
      <c r="D141" s="29" t="s">
        <v>71</v>
      </c>
      <c r="E141" s="23">
        <v>5410.4827</v>
      </c>
      <c r="F141" s="20"/>
      <c r="G141" s="29"/>
      <c r="H141" s="33"/>
      <c r="I141" s="29"/>
      <c r="J141" s="29" t="s">
        <v>64</v>
      </c>
      <c r="AA141" t="str">
        <f t="shared" si="2"/>
        <v>Rice</v>
      </c>
    </row>
    <row r="142" ht="45" customHeight="1" spans="1:27">
      <c r="A142" s="29" t="s">
        <v>25</v>
      </c>
      <c r="B142" s="29" t="s">
        <v>61</v>
      </c>
      <c r="C142" s="13" t="s">
        <v>129</v>
      </c>
      <c r="D142" s="29" t="s">
        <v>93</v>
      </c>
      <c r="E142" s="19">
        <v>1100</v>
      </c>
      <c r="F142" s="20"/>
      <c r="G142" s="29"/>
      <c r="H142" s="33"/>
      <c r="I142" s="29"/>
      <c r="J142" s="29" t="s">
        <v>67</v>
      </c>
      <c r="AA142" t="str">
        <f t="shared" si="2"/>
        <v>Rice</v>
      </c>
    </row>
    <row r="143" ht="30" customHeight="1" spans="1:27">
      <c r="A143" s="29" t="s">
        <v>25</v>
      </c>
      <c r="B143" s="29" t="s">
        <v>61</v>
      </c>
      <c r="C143" s="13" t="s">
        <v>129</v>
      </c>
      <c r="D143" s="29" t="s">
        <v>121</v>
      </c>
      <c r="E143" s="19">
        <v>3750</v>
      </c>
      <c r="F143" s="20"/>
      <c r="G143" s="29"/>
      <c r="H143" s="33"/>
      <c r="I143" s="29"/>
      <c r="J143" s="29" t="s">
        <v>75</v>
      </c>
      <c r="AA143" t="str">
        <f t="shared" si="2"/>
        <v>Corn</v>
      </c>
    </row>
    <row r="144" ht="30" customHeight="1" spans="1:27">
      <c r="A144" s="29" t="s">
        <v>25</v>
      </c>
      <c r="B144" s="29" t="s">
        <v>61</v>
      </c>
      <c r="C144" s="13" t="s">
        <v>129</v>
      </c>
      <c r="D144" s="29" t="s">
        <v>122</v>
      </c>
      <c r="E144" s="19">
        <v>1250</v>
      </c>
      <c r="F144" s="20"/>
      <c r="G144" s="29"/>
      <c r="H144" s="33"/>
      <c r="I144" s="29"/>
      <c r="J144" s="29" t="s">
        <v>96</v>
      </c>
      <c r="AA144" t="str">
        <f t="shared" si="2"/>
        <v>Corn</v>
      </c>
    </row>
    <row r="145" ht="30" customHeight="1" spans="1:27">
      <c r="A145" s="29" t="s">
        <v>25</v>
      </c>
      <c r="B145" s="29" t="s">
        <v>61</v>
      </c>
      <c r="C145" s="13" t="s">
        <v>129</v>
      </c>
      <c r="D145" s="29" t="s">
        <v>135</v>
      </c>
      <c r="E145" s="19">
        <v>400</v>
      </c>
      <c r="F145" s="20"/>
      <c r="G145" s="29"/>
      <c r="H145" s="33"/>
      <c r="I145" s="29"/>
      <c r="J145" s="29" t="s">
        <v>75</v>
      </c>
      <c r="AA145" t="str">
        <f t="shared" si="2"/>
        <v>Corn</v>
      </c>
    </row>
    <row r="146" ht="30" customHeight="1" spans="1:27">
      <c r="A146" s="29" t="s">
        <v>25</v>
      </c>
      <c r="B146" s="29" t="s">
        <v>61</v>
      </c>
      <c r="C146" s="13" t="s">
        <v>129</v>
      </c>
      <c r="D146" s="29" t="s">
        <v>136</v>
      </c>
      <c r="E146" s="19">
        <v>60.83</v>
      </c>
      <c r="F146" s="20"/>
      <c r="G146" s="29"/>
      <c r="H146" s="33"/>
      <c r="I146" s="29"/>
      <c r="J146" s="29" t="s">
        <v>75</v>
      </c>
      <c r="AA146" t="str">
        <f t="shared" si="2"/>
        <v>Corn</v>
      </c>
    </row>
    <row r="147" ht="30" customHeight="1" spans="1:27">
      <c r="A147" s="29" t="s">
        <v>25</v>
      </c>
      <c r="B147" s="29" t="s">
        <v>61</v>
      </c>
      <c r="C147" s="13" t="s">
        <v>129</v>
      </c>
      <c r="D147" s="29" t="s">
        <v>102</v>
      </c>
      <c r="E147" s="19">
        <v>150</v>
      </c>
      <c r="F147" s="20"/>
      <c r="G147" s="29"/>
      <c r="H147" s="33"/>
      <c r="I147" s="29"/>
      <c r="J147" s="29" t="s">
        <v>75</v>
      </c>
      <c r="AA147" t="str">
        <f t="shared" si="2"/>
        <v>Corn</v>
      </c>
    </row>
    <row r="148" ht="30" customHeight="1" spans="1:27">
      <c r="A148" s="29" t="s">
        <v>25</v>
      </c>
      <c r="B148" s="29" t="s">
        <v>61</v>
      </c>
      <c r="C148" s="13" t="s">
        <v>129</v>
      </c>
      <c r="D148" s="29" t="s">
        <v>74</v>
      </c>
      <c r="E148" s="19"/>
      <c r="F148" s="20"/>
      <c r="G148" s="29"/>
      <c r="H148" s="33"/>
      <c r="I148" s="29"/>
      <c r="J148" s="29" t="s">
        <v>75</v>
      </c>
      <c r="AA148" t="str">
        <f t="shared" si="2"/>
        <v>Corn</v>
      </c>
    </row>
    <row r="149" ht="30" customHeight="1" spans="1:27">
      <c r="A149" s="29" t="s">
        <v>25</v>
      </c>
      <c r="B149" s="29" t="s">
        <v>61</v>
      </c>
      <c r="C149" s="13" t="s">
        <v>137</v>
      </c>
      <c r="D149" s="29" t="s">
        <v>63</v>
      </c>
      <c r="E149" s="23">
        <v>11226.9641</v>
      </c>
      <c r="F149" s="24">
        <v>1381.7802</v>
      </c>
      <c r="G149" s="29"/>
      <c r="H149" s="33"/>
      <c r="I149" s="33"/>
      <c r="J149" s="29" t="s">
        <v>64</v>
      </c>
      <c r="AA149" t="str">
        <f t="shared" si="2"/>
        <v>Rice</v>
      </c>
    </row>
    <row r="150" ht="30" customHeight="1" spans="1:27">
      <c r="A150" s="29" t="s">
        <v>25</v>
      </c>
      <c r="B150" s="29" t="s">
        <v>61</v>
      </c>
      <c r="C150" s="13" t="s">
        <v>137</v>
      </c>
      <c r="D150" s="29" t="s">
        <v>66</v>
      </c>
      <c r="E150" s="19">
        <v>1500</v>
      </c>
      <c r="F150" s="20"/>
      <c r="G150" s="29"/>
      <c r="H150" s="33"/>
      <c r="I150" s="29"/>
      <c r="J150" s="29" t="s">
        <v>67</v>
      </c>
      <c r="AA150" t="str">
        <f t="shared" si="2"/>
        <v>Rice</v>
      </c>
    </row>
    <row r="151" ht="30" customHeight="1" spans="1:27">
      <c r="A151" s="29" t="s">
        <v>25</v>
      </c>
      <c r="B151" s="29" t="s">
        <v>61</v>
      </c>
      <c r="C151" s="13" t="s">
        <v>137</v>
      </c>
      <c r="D151" s="29" t="s">
        <v>70</v>
      </c>
      <c r="E151" s="23">
        <v>50521.3383</v>
      </c>
      <c r="F151" s="20"/>
      <c r="G151" s="29"/>
      <c r="H151" s="33"/>
      <c r="I151" s="29"/>
      <c r="J151" s="29" t="s">
        <v>64</v>
      </c>
      <c r="AA151" t="str">
        <f t="shared" si="2"/>
        <v>Rice</v>
      </c>
    </row>
    <row r="152" ht="30" customHeight="1" spans="1:27">
      <c r="A152" s="29" t="s">
        <v>25</v>
      </c>
      <c r="B152" s="29" t="s">
        <v>61</v>
      </c>
      <c r="C152" s="13" t="s">
        <v>137</v>
      </c>
      <c r="D152" s="29" t="s">
        <v>71</v>
      </c>
      <c r="E152" s="23">
        <v>3341.559</v>
      </c>
      <c r="F152" s="20"/>
      <c r="G152" s="29"/>
      <c r="H152" s="33"/>
      <c r="I152" s="29"/>
      <c r="J152" s="29" t="s">
        <v>64</v>
      </c>
      <c r="AA152" t="str">
        <f t="shared" si="2"/>
        <v>Rice</v>
      </c>
    </row>
    <row r="153" ht="45" customHeight="1" spans="1:27">
      <c r="A153" s="29" t="s">
        <v>25</v>
      </c>
      <c r="B153" s="29" t="s">
        <v>61</v>
      </c>
      <c r="C153" s="13" t="s">
        <v>137</v>
      </c>
      <c r="D153" s="29" t="s">
        <v>72</v>
      </c>
      <c r="E153" s="19">
        <v>515.82</v>
      </c>
      <c r="F153" s="20"/>
      <c r="G153" s="29"/>
      <c r="H153" s="33"/>
      <c r="I153" s="29"/>
      <c r="J153" s="29" t="s">
        <v>35</v>
      </c>
      <c r="AA153" t="str">
        <f t="shared" si="2"/>
        <v>High Value Crops (Vegetables/Fruits/Rootcrops)</v>
      </c>
    </row>
    <row r="154" ht="30" customHeight="1" spans="1:27">
      <c r="A154" s="29" t="s">
        <v>25</v>
      </c>
      <c r="B154" s="29" t="s">
        <v>61</v>
      </c>
      <c r="C154" s="13" t="s">
        <v>137</v>
      </c>
      <c r="D154" s="29" t="s">
        <v>36</v>
      </c>
      <c r="E154" s="19">
        <v>1250</v>
      </c>
      <c r="F154" s="20"/>
      <c r="G154" s="29"/>
      <c r="H154" s="33"/>
      <c r="I154" s="29"/>
      <c r="J154" s="29" t="s">
        <v>35</v>
      </c>
      <c r="AA154" t="str">
        <f t="shared" si="2"/>
        <v>High Value Crops (Vegetables/Fruits/Rootcrops)</v>
      </c>
    </row>
    <row r="155" ht="30" customHeight="1" spans="1:27">
      <c r="A155" s="29" t="s">
        <v>25</v>
      </c>
      <c r="B155" s="29" t="s">
        <v>61</v>
      </c>
      <c r="C155" s="13" t="s">
        <v>138</v>
      </c>
      <c r="D155" s="29" t="s">
        <v>125</v>
      </c>
      <c r="E155" s="19">
        <v>1320</v>
      </c>
      <c r="F155" s="20"/>
      <c r="G155" s="29"/>
      <c r="H155" s="33"/>
      <c r="I155" s="29"/>
      <c r="J155" s="29" t="s">
        <v>75</v>
      </c>
      <c r="AA155" t="str">
        <f t="shared" si="2"/>
        <v>Corn</v>
      </c>
    </row>
    <row r="156" ht="30" customHeight="1" spans="1:27">
      <c r="A156" s="29" t="s">
        <v>25</v>
      </c>
      <c r="B156" s="29" t="s">
        <v>61</v>
      </c>
      <c r="C156" s="13" t="s">
        <v>138</v>
      </c>
      <c r="D156" s="30" t="s">
        <v>139</v>
      </c>
      <c r="E156" s="19">
        <v>15000</v>
      </c>
      <c r="F156" s="20"/>
      <c r="G156" s="29"/>
      <c r="H156" s="29"/>
      <c r="I156" s="29"/>
      <c r="J156" s="29" t="s">
        <v>29</v>
      </c>
      <c r="AA156" t="str">
        <f t="shared" si="2"/>
        <v>Farm-to-Market Road</v>
      </c>
    </row>
    <row r="157" ht="30" customHeight="1" spans="1:27">
      <c r="A157" s="29" t="s">
        <v>25</v>
      </c>
      <c r="B157" s="29" t="s">
        <v>61</v>
      </c>
      <c r="C157" s="13" t="s">
        <v>138</v>
      </c>
      <c r="D157" s="29" t="s">
        <v>116</v>
      </c>
      <c r="E157" s="19">
        <v>3200</v>
      </c>
      <c r="F157" s="20"/>
      <c r="G157" s="29"/>
      <c r="H157" s="33"/>
      <c r="I157" s="29"/>
      <c r="J157" s="29" t="s">
        <v>96</v>
      </c>
      <c r="AA157" t="str">
        <f t="shared" si="2"/>
        <v>Corn</v>
      </c>
    </row>
    <row r="158" ht="30" customHeight="1" spans="1:27">
      <c r="A158" s="29" t="s">
        <v>25</v>
      </c>
      <c r="B158" s="29" t="s">
        <v>61</v>
      </c>
      <c r="C158" s="13" t="s">
        <v>138</v>
      </c>
      <c r="D158" s="29" t="s">
        <v>117</v>
      </c>
      <c r="E158" s="19">
        <v>6200</v>
      </c>
      <c r="F158" s="20"/>
      <c r="G158" s="29"/>
      <c r="H158" s="33"/>
      <c r="I158" s="29"/>
      <c r="J158" s="29" t="s">
        <v>75</v>
      </c>
      <c r="AA158" t="str">
        <f t="shared" si="2"/>
        <v>Corn</v>
      </c>
    </row>
    <row r="159" ht="30" customHeight="1" spans="1:27">
      <c r="A159" s="29" t="s">
        <v>25</v>
      </c>
      <c r="B159" s="29" t="s">
        <v>61</v>
      </c>
      <c r="C159" s="13" t="s">
        <v>138</v>
      </c>
      <c r="D159" s="29" t="s">
        <v>90</v>
      </c>
      <c r="E159" s="19"/>
      <c r="F159" s="20"/>
      <c r="G159" s="29"/>
      <c r="H159" s="33"/>
      <c r="I159" s="33"/>
      <c r="J159" s="29" t="s">
        <v>75</v>
      </c>
      <c r="AA159" t="str">
        <f t="shared" si="2"/>
        <v>Corn</v>
      </c>
    </row>
    <row r="160" ht="30" customHeight="1" spans="1:27">
      <c r="A160" s="29" t="s">
        <v>25</v>
      </c>
      <c r="B160" s="29" t="s">
        <v>61</v>
      </c>
      <c r="C160" s="13" t="s">
        <v>138</v>
      </c>
      <c r="D160" s="29" t="s">
        <v>70</v>
      </c>
      <c r="E160" s="23">
        <v>75690.7941</v>
      </c>
      <c r="F160" s="20"/>
      <c r="G160" s="29"/>
      <c r="H160" s="33"/>
      <c r="I160" s="29"/>
      <c r="J160" s="29" t="s">
        <v>64</v>
      </c>
      <c r="AA160" t="str">
        <f t="shared" si="2"/>
        <v>Rice</v>
      </c>
    </row>
    <row r="161" ht="30" customHeight="1" spans="1:27">
      <c r="A161" s="29" t="s">
        <v>25</v>
      </c>
      <c r="B161" s="29" t="s">
        <v>61</v>
      </c>
      <c r="C161" s="13" t="s">
        <v>138</v>
      </c>
      <c r="D161" s="29" t="s">
        <v>71</v>
      </c>
      <c r="E161" s="23">
        <v>5006.3056</v>
      </c>
      <c r="F161" s="20"/>
      <c r="G161" s="29"/>
      <c r="H161" s="33"/>
      <c r="I161" s="29"/>
      <c r="J161" s="29" t="s">
        <v>64</v>
      </c>
      <c r="AA161" t="str">
        <f t="shared" si="2"/>
        <v>Rice</v>
      </c>
    </row>
    <row r="162" ht="30" customHeight="1" spans="1:27">
      <c r="A162" s="29" t="s">
        <v>25</v>
      </c>
      <c r="B162" s="29" t="s">
        <v>61</v>
      </c>
      <c r="C162" s="13" t="s">
        <v>138</v>
      </c>
      <c r="D162" s="29" t="s">
        <v>119</v>
      </c>
      <c r="E162" s="19">
        <v>200</v>
      </c>
      <c r="F162" s="20"/>
      <c r="G162" s="29"/>
      <c r="H162" s="33"/>
      <c r="I162" s="29"/>
      <c r="J162" s="29" t="s">
        <v>96</v>
      </c>
      <c r="AA162" t="str">
        <f t="shared" si="2"/>
        <v>Corn</v>
      </c>
    </row>
    <row r="163" ht="30" spans="1:27">
      <c r="A163" s="29" t="s">
        <v>25</v>
      </c>
      <c r="B163" s="29" t="s">
        <v>61</v>
      </c>
      <c r="C163" s="13" t="s">
        <v>138</v>
      </c>
      <c r="D163" s="29" t="s">
        <v>120</v>
      </c>
      <c r="E163" s="19">
        <v>200</v>
      </c>
      <c r="F163" s="20"/>
      <c r="G163" s="29"/>
      <c r="H163" s="33"/>
      <c r="I163" s="29"/>
      <c r="J163" s="29" t="s">
        <v>75</v>
      </c>
      <c r="AA163" t="str">
        <f t="shared" si="2"/>
        <v>Corn</v>
      </c>
    </row>
    <row r="164" ht="30" customHeight="1" spans="1:27">
      <c r="A164" s="29" t="s">
        <v>25</v>
      </c>
      <c r="B164" s="29" t="s">
        <v>61</v>
      </c>
      <c r="C164" s="13" t="s">
        <v>138</v>
      </c>
      <c r="D164" s="29" t="s">
        <v>127</v>
      </c>
      <c r="E164" s="19">
        <v>220</v>
      </c>
      <c r="F164" s="20"/>
      <c r="G164" s="29"/>
      <c r="H164" s="33"/>
      <c r="I164" s="29"/>
      <c r="J164" s="29" t="s">
        <v>75</v>
      </c>
      <c r="AA164" t="str">
        <f t="shared" si="2"/>
        <v>Corn</v>
      </c>
    </row>
    <row r="165" ht="30" customHeight="1" spans="1:27">
      <c r="A165" s="29" t="s">
        <v>25</v>
      </c>
      <c r="B165" s="29" t="s">
        <v>61</v>
      </c>
      <c r="C165" s="13" t="s">
        <v>138</v>
      </c>
      <c r="D165" s="29" t="s">
        <v>128</v>
      </c>
      <c r="E165" s="19">
        <v>1100</v>
      </c>
      <c r="F165" s="20"/>
      <c r="G165" s="29"/>
      <c r="H165" s="33"/>
      <c r="I165" s="29"/>
      <c r="J165" s="29" t="s">
        <v>75</v>
      </c>
      <c r="AA165" t="str">
        <f t="shared" si="2"/>
        <v>Corn</v>
      </c>
    </row>
    <row r="166" spans="1:27">
      <c r="A166" s="29" t="s">
        <v>25</v>
      </c>
      <c r="B166" s="29" t="s">
        <v>61</v>
      </c>
      <c r="C166" s="13" t="s">
        <v>138</v>
      </c>
      <c r="D166" s="29" t="s">
        <v>140</v>
      </c>
      <c r="E166" s="19">
        <v>24000</v>
      </c>
      <c r="F166" s="20"/>
      <c r="G166" s="29"/>
      <c r="H166" s="33"/>
      <c r="I166" s="29"/>
      <c r="J166" s="29" t="s">
        <v>67</v>
      </c>
      <c r="AA166" t="str">
        <f t="shared" si="2"/>
        <v>Rice</v>
      </c>
    </row>
    <row r="167" spans="1:27">
      <c r="A167" s="29" t="s">
        <v>25</v>
      </c>
      <c r="B167" s="29" t="s">
        <v>61</v>
      </c>
      <c r="C167" s="13" t="s">
        <v>138</v>
      </c>
      <c r="D167" s="29" t="s">
        <v>141</v>
      </c>
      <c r="E167" s="19">
        <v>20000</v>
      </c>
      <c r="F167" s="20"/>
      <c r="G167" s="29"/>
      <c r="H167" s="33"/>
      <c r="I167" s="29"/>
      <c r="J167" s="29" t="s">
        <v>67</v>
      </c>
      <c r="AA167" t="str">
        <f t="shared" si="2"/>
        <v>Rice</v>
      </c>
    </row>
    <row r="168" ht="30" customHeight="1" spans="1:27">
      <c r="A168" s="29" t="s">
        <v>25</v>
      </c>
      <c r="B168" s="29" t="s">
        <v>61</v>
      </c>
      <c r="C168" s="13" t="s">
        <v>142</v>
      </c>
      <c r="D168" s="30" t="s">
        <v>143</v>
      </c>
      <c r="E168" s="19">
        <v>21000</v>
      </c>
      <c r="F168" s="20"/>
      <c r="G168" s="29"/>
      <c r="H168" s="29"/>
      <c r="I168" s="29"/>
      <c r="J168" s="29" t="s">
        <v>29</v>
      </c>
      <c r="AA168" t="str">
        <f t="shared" si="2"/>
        <v>Farm-to-Market Road</v>
      </c>
    </row>
    <row r="169" spans="1:27">
      <c r="A169" s="29" t="s">
        <v>25</v>
      </c>
      <c r="B169" s="29" t="s">
        <v>61</v>
      </c>
      <c r="C169" s="13" t="s">
        <v>142</v>
      </c>
      <c r="D169" s="29" t="s">
        <v>144</v>
      </c>
      <c r="E169" s="19">
        <v>75</v>
      </c>
      <c r="F169" s="20"/>
      <c r="G169" s="29"/>
      <c r="H169" s="33"/>
      <c r="I169" s="29"/>
      <c r="J169" s="29" t="s">
        <v>33</v>
      </c>
      <c r="AA169" t="str">
        <f t="shared" si="2"/>
        <v>Various Commodities (SAAD)</v>
      </c>
    </row>
    <row r="170" spans="1:27">
      <c r="A170" s="29" t="s">
        <v>25</v>
      </c>
      <c r="B170" s="29" t="s">
        <v>61</v>
      </c>
      <c r="C170" s="13" t="s">
        <v>142</v>
      </c>
      <c r="D170" s="29" t="s">
        <v>145</v>
      </c>
      <c r="E170" s="19">
        <v>1500</v>
      </c>
      <c r="F170" s="20"/>
      <c r="G170" s="29"/>
      <c r="H170" s="33"/>
      <c r="I170" s="29"/>
      <c r="J170" s="29" t="s">
        <v>96</v>
      </c>
      <c r="AA170" t="str">
        <f t="shared" si="2"/>
        <v>Corn</v>
      </c>
    </row>
    <row r="171" ht="30" customHeight="1" spans="1:27">
      <c r="A171" s="29" t="s">
        <v>25</v>
      </c>
      <c r="B171" s="29" t="s">
        <v>61</v>
      </c>
      <c r="C171" s="13" t="s">
        <v>142</v>
      </c>
      <c r="D171" s="29" t="s">
        <v>63</v>
      </c>
      <c r="E171" s="23">
        <v>2003.9585</v>
      </c>
      <c r="F171" s="24">
        <v>246.641</v>
      </c>
      <c r="G171" s="29"/>
      <c r="H171" s="33"/>
      <c r="I171" s="33"/>
      <c r="J171" s="29" t="s">
        <v>64</v>
      </c>
      <c r="AA171" t="str">
        <f t="shared" si="2"/>
        <v>Rice</v>
      </c>
    </row>
    <row r="172" ht="30" customHeight="1" spans="1:27">
      <c r="A172" s="29" t="s">
        <v>25</v>
      </c>
      <c r="B172" s="29" t="s">
        <v>61</v>
      </c>
      <c r="C172" s="13" t="s">
        <v>142</v>
      </c>
      <c r="D172" s="29" t="s">
        <v>32</v>
      </c>
      <c r="E172" s="19">
        <v>12282</v>
      </c>
      <c r="F172" s="20"/>
      <c r="G172" s="29"/>
      <c r="H172" s="33"/>
      <c r="I172" s="29"/>
      <c r="J172" s="29" t="s">
        <v>33</v>
      </c>
      <c r="AA172" t="str">
        <f t="shared" si="2"/>
        <v>Various Commodities (SAAD)</v>
      </c>
    </row>
    <row r="173" ht="30" customHeight="1" spans="1:27">
      <c r="A173" s="29" t="s">
        <v>25</v>
      </c>
      <c r="B173" s="29" t="s">
        <v>61</v>
      </c>
      <c r="C173" s="13" t="s">
        <v>142</v>
      </c>
      <c r="D173" s="29" t="s">
        <v>70</v>
      </c>
      <c r="E173" s="23">
        <v>9017.8132</v>
      </c>
      <c r="F173" s="20"/>
      <c r="G173" s="29"/>
      <c r="H173" s="33"/>
      <c r="I173" s="29"/>
      <c r="J173" s="29" t="s">
        <v>64</v>
      </c>
      <c r="AA173" t="str">
        <f t="shared" si="2"/>
        <v>Rice</v>
      </c>
    </row>
    <row r="174" ht="30" customHeight="1" spans="1:27">
      <c r="A174" s="29" t="s">
        <v>25</v>
      </c>
      <c r="B174" s="29" t="s">
        <v>61</v>
      </c>
      <c r="C174" s="13" t="s">
        <v>142</v>
      </c>
      <c r="D174" s="29" t="s">
        <v>91</v>
      </c>
      <c r="E174" s="19">
        <v>1000</v>
      </c>
      <c r="F174" s="20"/>
      <c r="G174" s="29"/>
      <c r="H174" s="33"/>
      <c r="I174" s="29"/>
      <c r="J174" s="29" t="s">
        <v>75</v>
      </c>
      <c r="AA174" t="str">
        <f t="shared" si="2"/>
        <v>Corn</v>
      </c>
    </row>
    <row r="175" ht="30" customHeight="1" spans="1:27">
      <c r="A175" s="29" t="s">
        <v>25</v>
      </c>
      <c r="B175" s="29" t="s">
        <v>61</v>
      </c>
      <c r="C175" s="13" t="s">
        <v>142</v>
      </c>
      <c r="D175" s="29" t="s">
        <v>71</v>
      </c>
      <c r="E175" s="23">
        <v>596.452</v>
      </c>
      <c r="F175" s="20"/>
      <c r="G175" s="29"/>
      <c r="H175" s="33"/>
      <c r="I175" s="29"/>
      <c r="J175" s="29" t="s">
        <v>64</v>
      </c>
      <c r="AA175" t="str">
        <f t="shared" si="2"/>
        <v>Rice</v>
      </c>
    </row>
    <row r="176" ht="30" customHeight="1" spans="1:27">
      <c r="A176" s="29" t="s">
        <v>25</v>
      </c>
      <c r="B176" s="29" t="s">
        <v>61</v>
      </c>
      <c r="C176" s="13" t="s">
        <v>142</v>
      </c>
      <c r="D176" s="30" t="s">
        <v>51</v>
      </c>
      <c r="E176" s="19"/>
      <c r="F176" s="20"/>
      <c r="G176" s="29"/>
      <c r="H176" s="29"/>
      <c r="I176" s="29"/>
      <c r="J176" s="29" t="s">
        <v>39</v>
      </c>
      <c r="AA176" t="str">
        <f t="shared" si="2"/>
        <v/>
      </c>
    </row>
    <row r="177" ht="30" customHeight="1" spans="1:27">
      <c r="A177" s="29" t="s">
        <v>25</v>
      </c>
      <c r="B177" s="29" t="s">
        <v>61</v>
      </c>
      <c r="C177" s="13" t="s">
        <v>142</v>
      </c>
      <c r="D177" s="29" t="s">
        <v>146</v>
      </c>
      <c r="E177" s="19">
        <v>175</v>
      </c>
      <c r="F177" s="20"/>
      <c r="G177" s="29"/>
      <c r="H177" s="33"/>
      <c r="I177" s="29"/>
      <c r="J177" s="29" t="s">
        <v>33</v>
      </c>
      <c r="AA177" t="str">
        <f t="shared" si="2"/>
        <v>Various Commodities (SAAD)</v>
      </c>
    </row>
    <row r="178" ht="45" customHeight="1" spans="1:27">
      <c r="A178" s="29" t="s">
        <v>25</v>
      </c>
      <c r="B178" s="29" t="s">
        <v>61</v>
      </c>
      <c r="C178" s="13" t="s">
        <v>142</v>
      </c>
      <c r="D178" s="29" t="s">
        <v>147</v>
      </c>
      <c r="E178" s="19">
        <v>75</v>
      </c>
      <c r="F178" s="20"/>
      <c r="G178" s="29"/>
      <c r="H178" s="33"/>
      <c r="I178" s="29"/>
      <c r="J178" s="29" t="s">
        <v>75</v>
      </c>
      <c r="AA178" t="str">
        <f t="shared" si="2"/>
        <v>Corn</v>
      </c>
    </row>
    <row r="179" spans="1:27">
      <c r="A179" s="29" t="s">
        <v>25</v>
      </c>
      <c r="B179" s="29" t="s">
        <v>61</v>
      </c>
      <c r="C179" s="13" t="s">
        <v>142</v>
      </c>
      <c r="D179" s="30" t="s">
        <v>49</v>
      </c>
      <c r="E179" s="19"/>
      <c r="F179" s="20"/>
      <c r="G179" s="29"/>
      <c r="H179" s="29"/>
      <c r="I179" s="29"/>
      <c r="J179" s="29" t="s">
        <v>39</v>
      </c>
      <c r="AA179" t="str">
        <f t="shared" si="2"/>
        <v/>
      </c>
    </row>
    <row r="180" ht="30" customHeight="1" spans="1:27">
      <c r="A180" s="29" t="s">
        <v>25</v>
      </c>
      <c r="B180" s="29" t="s">
        <v>61</v>
      </c>
      <c r="C180" s="13" t="s">
        <v>142</v>
      </c>
      <c r="D180" s="29" t="s">
        <v>148</v>
      </c>
      <c r="E180" s="19">
        <v>340</v>
      </c>
      <c r="F180" s="20"/>
      <c r="G180" s="29"/>
      <c r="H180" s="33"/>
      <c r="I180" s="29"/>
      <c r="J180" s="29" t="s">
        <v>33</v>
      </c>
      <c r="AA180" t="str">
        <f t="shared" si="2"/>
        <v>Various Commodities (SAAD)</v>
      </c>
    </row>
    <row r="181" ht="30" customHeight="1" spans="1:27">
      <c r="A181" s="29" t="s">
        <v>25</v>
      </c>
      <c r="B181" s="29" t="s">
        <v>61</v>
      </c>
      <c r="C181" s="13" t="s">
        <v>142</v>
      </c>
      <c r="D181" s="29" t="s">
        <v>110</v>
      </c>
      <c r="E181" s="19">
        <v>2700</v>
      </c>
      <c r="F181" s="20"/>
      <c r="G181" s="29"/>
      <c r="H181" s="33"/>
      <c r="I181" s="29"/>
      <c r="J181" s="29" t="s">
        <v>75</v>
      </c>
      <c r="AA181" t="str">
        <f t="shared" si="2"/>
        <v>Corn</v>
      </c>
    </row>
    <row r="182" ht="30" customHeight="1" spans="1:27">
      <c r="A182" s="29" t="s">
        <v>25</v>
      </c>
      <c r="B182" s="29" t="s">
        <v>61</v>
      </c>
      <c r="C182" s="13" t="s">
        <v>142</v>
      </c>
      <c r="D182" s="30" t="s">
        <v>52</v>
      </c>
      <c r="E182" s="19"/>
      <c r="F182" s="20"/>
      <c r="G182" s="29"/>
      <c r="H182" s="29"/>
      <c r="I182" s="29"/>
      <c r="J182" s="29" t="s">
        <v>39</v>
      </c>
      <c r="AA182" t="str">
        <f t="shared" si="2"/>
        <v/>
      </c>
    </row>
    <row r="183" ht="30" customHeight="1" spans="1:27">
      <c r="A183" s="29" t="s">
        <v>25</v>
      </c>
      <c r="B183" s="29" t="s">
        <v>61</v>
      </c>
      <c r="C183" s="13" t="s">
        <v>142</v>
      </c>
      <c r="D183" s="29" t="s">
        <v>103</v>
      </c>
      <c r="E183" s="19">
        <v>1100</v>
      </c>
      <c r="F183" s="20"/>
      <c r="G183" s="29"/>
      <c r="H183" s="33"/>
      <c r="I183" s="29"/>
      <c r="J183" s="29" t="s">
        <v>75</v>
      </c>
      <c r="AA183" t="str">
        <f t="shared" si="2"/>
        <v>Corn</v>
      </c>
    </row>
    <row r="184" ht="30" customHeight="1" spans="1:27">
      <c r="A184" s="29" t="s">
        <v>25</v>
      </c>
      <c r="B184" s="29" t="s">
        <v>61</v>
      </c>
      <c r="C184" s="13" t="s">
        <v>149</v>
      </c>
      <c r="D184" s="30" t="s">
        <v>150</v>
      </c>
      <c r="E184" s="19"/>
      <c r="F184" s="20">
        <v>15000</v>
      </c>
      <c r="G184" s="29"/>
      <c r="H184" s="29"/>
      <c r="I184" s="29"/>
      <c r="J184" s="29" t="s">
        <v>29</v>
      </c>
      <c r="AA184" t="str">
        <f t="shared" si="2"/>
        <v>Farm-to-Market Road</v>
      </c>
    </row>
    <row r="185" ht="45" customHeight="1" spans="1:27">
      <c r="A185" s="29" t="s">
        <v>25</v>
      </c>
      <c r="B185" s="29" t="s">
        <v>61</v>
      </c>
      <c r="C185" s="13" t="s">
        <v>149</v>
      </c>
      <c r="D185" s="30" t="s">
        <v>151</v>
      </c>
      <c r="E185" s="19"/>
      <c r="F185" s="20">
        <v>15000</v>
      </c>
      <c r="G185" s="29"/>
      <c r="H185" s="29"/>
      <c r="I185" s="29"/>
      <c r="J185" s="29" t="s">
        <v>29</v>
      </c>
      <c r="AA185" t="str">
        <f t="shared" si="2"/>
        <v>Farm-to-Market Road</v>
      </c>
    </row>
    <row r="186" ht="30" customHeight="1" spans="1:27">
      <c r="A186" s="29" t="s">
        <v>25</v>
      </c>
      <c r="B186" s="29" t="s">
        <v>61</v>
      </c>
      <c r="C186" s="13" t="s">
        <v>149</v>
      </c>
      <c r="D186" s="30" t="s">
        <v>152</v>
      </c>
      <c r="E186" s="19"/>
      <c r="F186" s="20">
        <v>15000</v>
      </c>
      <c r="G186" s="29"/>
      <c r="H186" s="29"/>
      <c r="I186" s="29"/>
      <c r="J186" s="29" t="s">
        <v>29</v>
      </c>
      <c r="AA186" t="str">
        <f t="shared" si="2"/>
        <v>Farm-to-Market Road</v>
      </c>
    </row>
    <row r="187" ht="30" customHeight="1" spans="1:27">
      <c r="A187" s="29" t="s">
        <v>25</v>
      </c>
      <c r="B187" s="29" t="s">
        <v>61</v>
      </c>
      <c r="C187" s="13" t="s">
        <v>149</v>
      </c>
      <c r="D187" s="30" t="s">
        <v>153</v>
      </c>
      <c r="E187" s="19"/>
      <c r="F187" s="20">
        <v>15000</v>
      </c>
      <c r="G187" s="29"/>
      <c r="H187" s="29"/>
      <c r="I187" s="29"/>
      <c r="J187" s="29" t="s">
        <v>29</v>
      </c>
      <c r="AA187" t="str">
        <f t="shared" si="2"/>
        <v>Farm-to-Market Road</v>
      </c>
    </row>
    <row r="188" ht="30" customHeight="1" spans="1:27">
      <c r="A188" s="29" t="s">
        <v>25</v>
      </c>
      <c r="B188" s="29" t="s">
        <v>61</v>
      </c>
      <c r="C188" s="13" t="s">
        <v>149</v>
      </c>
      <c r="D188" s="30" t="s">
        <v>154</v>
      </c>
      <c r="E188" s="19"/>
      <c r="F188" s="20">
        <v>30000</v>
      </c>
      <c r="G188" s="29"/>
      <c r="H188" s="29"/>
      <c r="I188" s="29"/>
      <c r="J188" s="29" t="s">
        <v>29</v>
      </c>
      <c r="AA188" t="str">
        <f t="shared" si="2"/>
        <v>Farm-to-Market Road</v>
      </c>
    </row>
    <row r="189" ht="30" customHeight="1" spans="1:27">
      <c r="A189" s="29" t="s">
        <v>25</v>
      </c>
      <c r="B189" s="29" t="s">
        <v>61</v>
      </c>
      <c r="C189" s="13" t="s">
        <v>149</v>
      </c>
      <c r="D189" s="29" t="s">
        <v>90</v>
      </c>
      <c r="E189" s="19"/>
      <c r="F189" s="20"/>
      <c r="G189" s="29"/>
      <c r="H189" s="33"/>
      <c r="I189" s="33"/>
      <c r="J189" s="29" t="s">
        <v>75</v>
      </c>
      <c r="AA189" t="str">
        <f t="shared" si="2"/>
        <v>Corn</v>
      </c>
    </row>
    <row r="190" ht="30" customHeight="1" spans="1:27">
      <c r="A190" s="29" t="s">
        <v>25</v>
      </c>
      <c r="B190" s="29" t="s">
        <v>61</v>
      </c>
      <c r="C190" s="13" t="s">
        <v>149</v>
      </c>
      <c r="D190" s="29" t="s">
        <v>70</v>
      </c>
      <c r="E190" s="23">
        <v>60983.6339</v>
      </c>
      <c r="F190" s="20"/>
      <c r="G190" s="29"/>
      <c r="H190" s="33"/>
      <c r="I190" s="29"/>
      <c r="J190" s="29" t="s">
        <v>64</v>
      </c>
      <c r="AA190" t="str">
        <f t="shared" si="2"/>
        <v>Rice</v>
      </c>
    </row>
    <row r="191" ht="45" customHeight="1" spans="1:27">
      <c r="A191" s="29" t="s">
        <v>25</v>
      </c>
      <c r="B191" s="29" t="s">
        <v>61</v>
      </c>
      <c r="C191" s="13" t="s">
        <v>149</v>
      </c>
      <c r="D191" s="29" t="s">
        <v>71</v>
      </c>
      <c r="E191" s="23">
        <v>4033.5514</v>
      </c>
      <c r="F191" s="20"/>
      <c r="G191" s="29"/>
      <c r="H191" s="33"/>
      <c r="I191" s="29"/>
      <c r="J191" s="29" t="s">
        <v>64</v>
      </c>
      <c r="AA191" t="str">
        <f t="shared" si="2"/>
        <v>Rice</v>
      </c>
    </row>
    <row r="192" ht="30" customHeight="1" spans="1:27">
      <c r="A192" s="29" t="s">
        <v>25</v>
      </c>
      <c r="B192" s="29" t="s">
        <v>61</v>
      </c>
      <c r="C192" s="13" t="s">
        <v>149</v>
      </c>
      <c r="D192" s="29" t="s">
        <v>155</v>
      </c>
      <c r="E192" s="19">
        <v>1500</v>
      </c>
      <c r="F192" s="20"/>
      <c r="G192" s="29"/>
      <c r="H192" s="33"/>
      <c r="I192" s="29"/>
      <c r="J192" s="29" t="s">
        <v>80</v>
      </c>
      <c r="AA192" t="str">
        <f t="shared" si="2"/>
        <v>Livestock (Cattle/Carabao/Swine/Poultry)</v>
      </c>
    </row>
    <row r="193" ht="30" customHeight="1" spans="1:27">
      <c r="A193" s="29" t="s">
        <v>25</v>
      </c>
      <c r="B193" s="29" t="s">
        <v>61</v>
      </c>
      <c r="C193" s="13" t="s">
        <v>149</v>
      </c>
      <c r="D193" s="29" t="s">
        <v>74</v>
      </c>
      <c r="E193" s="19"/>
      <c r="F193" s="20"/>
      <c r="G193" s="29"/>
      <c r="H193" s="33"/>
      <c r="I193" s="29"/>
      <c r="J193" s="29" t="s">
        <v>75</v>
      </c>
      <c r="AA193" t="str">
        <f t="shared" si="2"/>
        <v>Corn</v>
      </c>
    </row>
    <row r="194" ht="45" customHeight="1" spans="1:27">
      <c r="A194" s="29" t="s">
        <v>25</v>
      </c>
      <c r="B194" s="29" t="s">
        <v>61</v>
      </c>
      <c r="C194" s="13" t="s">
        <v>156</v>
      </c>
      <c r="D194" s="30" t="s">
        <v>157</v>
      </c>
      <c r="E194" s="19">
        <v>43500</v>
      </c>
      <c r="F194" s="20"/>
      <c r="G194" s="29"/>
      <c r="H194" s="29"/>
      <c r="I194" s="29"/>
      <c r="J194" s="29" t="s">
        <v>29</v>
      </c>
      <c r="AA194" t="str">
        <f t="shared" si="2"/>
        <v>Farm-to-Market Road</v>
      </c>
    </row>
    <row r="195" ht="30" customHeight="1" spans="1:27">
      <c r="A195" s="29" t="s">
        <v>25</v>
      </c>
      <c r="B195" s="29" t="s">
        <v>61</v>
      </c>
      <c r="C195" s="13" t="s">
        <v>156</v>
      </c>
      <c r="D195" s="29" t="s">
        <v>63</v>
      </c>
      <c r="E195" s="23">
        <v>10117.3963</v>
      </c>
      <c r="F195" s="24">
        <v>1245.218</v>
      </c>
      <c r="G195" s="29"/>
      <c r="H195" s="33"/>
      <c r="I195" s="33"/>
      <c r="J195" s="29" t="s">
        <v>64</v>
      </c>
      <c r="AA195" t="str">
        <f t="shared" si="2"/>
        <v>Rice</v>
      </c>
    </row>
    <row r="196" ht="30" customHeight="1" spans="1:27">
      <c r="A196" s="29" t="s">
        <v>25</v>
      </c>
      <c r="B196" s="29" t="s">
        <v>61</v>
      </c>
      <c r="C196" s="13" t="s">
        <v>156</v>
      </c>
      <c r="D196" s="29" t="s">
        <v>70</v>
      </c>
      <c r="E196" s="23">
        <v>45528.2833</v>
      </c>
      <c r="F196" s="20"/>
      <c r="G196" s="29"/>
      <c r="H196" s="33"/>
      <c r="I196" s="29"/>
      <c r="J196" s="29" t="s">
        <v>64</v>
      </c>
      <c r="AA196" t="str">
        <f t="shared" si="2"/>
        <v>Rice</v>
      </c>
    </row>
    <row r="197" ht="30" customHeight="1" spans="1:27">
      <c r="A197" s="29" t="s">
        <v>25</v>
      </c>
      <c r="B197" s="29" t="s">
        <v>61</v>
      </c>
      <c r="C197" s="13" t="s">
        <v>156</v>
      </c>
      <c r="D197" s="29" t="s">
        <v>71</v>
      </c>
      <c r="E197" s="23">
        <v>3011.3107</v>
      </c>
      <c r="F197" s="20"/>
      <c r="G197" s="29"/>
      <c r="H197" s="33"/>
      <c r="I197" s="29"/>
      <c r="J197" s="29" t="s">
        <v>64</v>
      </c>
      <c r="AA197" t="str">
        <f t="shared" si="2"/>
        <v>Rice</v>
      </c>
    </row>
    <row r="198" ht="45" customHeight="1" spans="1:27">
      <c r="A198" s="29" t="s">
        <v>25</v>
      </c>
      <c r="B198" s="29" t="s">
        <v>61</v>
      </c>
      <c r="C198" s="13" t="s">
        <v>156</v>
      </c>
      <c r="D198" s="29" t="s">
        <v>73</v>
      </c>
      <c r="E198" s="19">
        <v>19200</v>
      </c>
      <c r="F198" s="20"/>
      <c r="G198" s="29"/>
      <c r="H198" s="33"/>
      <c r="I198" s="29"/>
      <c r="J198" s="29" t="s">
        <v>64</v>
      </c>
      <c r="AA198" t="str">
        <f t="shared" si="2"/>
        <v>Rice</v>
      </c>
    </row>
    <row r="199" ht="30" customHeight="1" spans="1:27">
      <c r="A199" s="29" t="s">
        <v>25</v>
      </c>
      <c r="B199" s="29" t="s">
        <v>61</v>
      </c>
      <c r="C199" s="13" t="s">
        <v>158</v>
      </c>
      <c r="D199" s="30" t="s">
        <v>159</v>
      </c>
      <c r="E199" s="19">
        <v>50000</v>
      </c>
      <c r="F199" s="20"/>
      <c r="G199" s="29"/>
      <c r="H199" s="29"/>
      <c r="I199" s="29"/>
      <c r="J199" s="29" t="s">
        <v>29</v>
      </c>
      <c r="AA199" t="str">
        <f t="shared" si="2"/>
        <v>Farm-to-Market Road</v>
      </c>
    </row>
    <row r="200" ht="30" customHeight="1" spans="1:27">
      <c r="A200" s="29" t="s">
        <v>25</v>
      </c>
      <c r="B200" s="29" t="s">
        <v>61</v>
      </c>
      <c r="C200" s="13" t="s">
        <v>158</v>
      </c>
      <c r="D200" s="29" t="s">
        <v>115</v>
      </c>
      <c r="E200" s="23">
        <v>11299.1005</v>
      </c>
      <c r="F200" s="24">
        <v>1390.6585</v>
      </c>
      <c r="G200" s="29"/>
      <c r="H200" s="33"/>
      <c r="I200" s="33"/>
      <c r="J200" s="29" t="s">
        <v>64</v>
      </c>
      <c r="AA200" t="str">
        <f t="shared" si="2"/>
        <v>Rice</v>
      </c>
    </row>
    <row r="201" ht="30" customHeight="1" spans="1:27">
      <c r="A201" s="29" t="s">
        <v>25</v>
      </c>
      <c r="B201" s="29" t="s">
        <v>61</v>
      </c>
      <c r="C201" s="13" t="s">
        <v>158</v>
      </c>
      <c r="D201" s="29" t="s">
        <v>90</v>
      </c>
      <c r="E201" s="19"/>
      <c r="F201" s="20"/>
      <c r="G201" s="29"/>
      <c r="H201" s="33"/>
      <c r="I201" s="33"/>
      <c r="J201" s="29" t="s">
        <v>75</v>
      </c>
      <c r="AA201" t="str">
        <f t="shared" si="2"/>
        <v>Corn</v>
      </c>
    </row>
    <row r="202" ht="30" customHeight="1" spans="1:27">
      <c r="A202" s="29" t="s">
        <v>25</v>
      </c>
      <c r="B202" s="29" t="s">
        <v>61</v>
      </c>
      <c r="C202" s="13" t="s">
        <v>158</v>
      </c>
      <c r="D202" s="29" t="s">
        <v>70</v>
      </c>
      <c r="E202" s="23">
        <v>50845.9522</v>
      </c>
      <c r="F202" s="20"/>
      <c r="G202" s="29"/>
      <c r="H202" s="33"/>
      <c r="I202" s="29"/>
      <c r="J202" s="29" t="s">
        <v>64</v>
      </c>
      <c r="AA202" t="str">
        <f t="shared" ref="AA202:AA265" si="3">_xlfn.IFS(J202="DA-FMRDP","Farm-to-Market Road",J202="DA-RFO2 RICE","Rice",J202="DA-RFO2 Rice Program","Rice",J202="DA-RFO2 CORN","Corn",J202="DA-RFO2 Corn Program","Corn",J202="DA-RFO2 HVCDP","High Value Crops (Vegetables/Fruits/Rootcrops)",J202="DA-RFO2 HVCDP Export","High Value Export Crops (Dragon Fruit/Ube/Okra/Banana)",J202="DA-RFO2 HVCDP Coffee","Coffee (HVCDP)",J202="DA-RFO2 LIVESTOCK","Livestock (Cattle/Carabao/Swine/Poultry)",J202="DA-RFO2 SAAD","Various Commodities (SAAD)",J202="DA-RFO2 4K","Various Commodities (4Ks)",J202="DA-RFO2 4KS","Various Commodities (4Ks)",J202="DA-RFO2 HALAL","Halal Food Products",J202="DA-RFO2 OAP","Organic Agriculture",J202="DA-RFO2 NUPAP","Vegetables (NUPAP/Urban Agri)",TRUE,IF(ISNUMBER(SEARCH("FMR",D202)),"Farm-to-Market Road",IF(ISNUMBER(SEARCH("RICE",D202)),"Rice",IF(ISNUMBER(SEARCH("CORN",D202)),"Corn",IF(ISNUMBER(SEARCH("HVCDP COFFEE",D202)),"Coffee (HVCDP)",IF(ISNUMBER(SEARCH("HVCDP EXPORT",D202)),"High Value Export Crops (Dragon Fruit/Ube/Okra/Banana)",IF(ISNUMBER(SEARCH("HVCDP",D202)),"High Value Crops (Vegetables/Fruits/Rootcrops)",IF(ISNUMBER(SEARCH("LIVESTOCK",D202)),"Livestock (Cattle/Carabao/Swine/Poultry)",IF(ISNUMBER(SEARCH("SAAD",D202)),"Various Commodities (SAAD)",IF(ISNUMBER(SEARCH("4KS",D202)),"Various Commodities (4Ks)",IF(ISNUMBER(SEARCH("4K",D202)),"Various Commodities (4Ks)",IF(ISNUMBER(SEARCH("HALAL",D202)),"Halal Food Products",IF(ISNUMBER(SEARCH("OAP",D202)),"Organic Agriculture",IF(ISNUMBER(SEARCH("NUPAP",D202)),"Vegetables (NUPAP/Urban Agri)",""))))))))))))))</f>
        <v>Rice</v>
      </c>
    </row>
    <row r="203" ht="30" customHeight="1" spans="1:27">
      <c r="A203" s="29" t="s">
        <v>25</v>
      </c>
      <c r="B203" s="29" t="s">
        <v>61</v>
      </c>
      <c r="C203" s="13" t="s">
        <v>158</v>
      </c>
      <c r="D203" s="29" t="s">
        <v>71</v>
      </c>
      <c r="E203" s="23">
        <v>3363.0295</v>
      </c>
      <c r="F203" s="20"/>
      <c r="G203" s="29"/>
      <c r="H203" s="33"/>
      <c r="I203" s="29"/>
      <c r="J203" s="29" t="s">
        <v>64</v>
      </c>
      <c r="AA203" t="str">
        <f t="shared" si="3"/>
        <v>Rice</v>
      </c>
    </row>
    <row r="204" ht="30" customHeight="1" spans="1:27">
      <c r="A204" s="29" t="s">
        <v>25</v>
      </c>
      <c r="B204" s="29" t="s">
        <v>61</v>
      </c>
      <c r="C204" s="13" t="s">
        <v>158</v>
      </c>
      <c r="D204" s="29" t="s">
        <v>92</v>
      </c>
      <c r="E204" s="19">
        <v>212.5</v>
      </c>
      <c r="F204" s="20"/>
      <c r="G204" s="29"/>
      <c r="H204" s="33"/>
      <c r="I204" s="29"/>
      <c r="J204" s="29" t="s">
        <v>35</v>
      </c>
      <c r="AA204" t="str">
        <f t="shared" si="3"/>
        <v>High Value Crops (Vegetables/Fruits/Rootcrops)</v>
      </c>
    </row>
    <row r="205" ht="45" customHeight="1" spans="1:27">
      <c r="A205" s="29" t="s">
        <v>25</v>
      </c>
      <c r="B205" s="29" t="s">
        <v>61</v>
      </c>
      <c r="C205" s="13" t="s">
        <v>158</v>
      </c>
      <c r="D205" s="29" t="s">
        <v>119</v>
      </c>
      <c r="E205" s="19">
        <v>200</v>
      </c>
      <c r="F205" s="20"/>
      <c r="G205" s="29"/>
      <c r="H205" s="33"/>
      <c r="I205" s="29"/>
      <c r="J205" s="29" t="s">
        <v>96</v>
      </c>
      <c r="AA205" t="str">
        <f t="shared" si="3"/>
        <v>Corn</v>
      </c>
    </row>
    <row r="206" ht="30" customHeight="1" spans="1:27">
      <c r="A206" s="29" t="s">
        <v>25</v>
      </c>
      <c r="B206" s="29" t="s">
        <v>61</v>
      </c>
      <c r="C206" s="13" t="s">
        <v>158</v>
      </c>
      <c r="D206" s="29" t="s">
        <v>120</v>
      </c>
      <c r="E206" s="19">
        <v>200</v>
      </c>
      <c r="F206" s="20"/>
      <c r="G206" s="29"/>
      <c r="H206" s="33"/>
      <c r="I206" s="29"/>
      <c r="J206" s="29" t="s">
        <v>75</v>
      </c>
      <c r="AA206" t="str">
        <f t="shared" si="3"/>
        <v>Corn</v>
      </c>
    </row>
    <row r="207" ht="30" customHeight="1" spans="1:27">
      <c r="A207" s="29" t="s">
        <v>25</v>
      </c>
      <c r="B207" s="29" t="s">
        <v>61</v>
      </c>
      <c r="C207" s="13" t="s">
        <v>158</v>
      </c>
      <c r="D207" s="29" t="s">
        <v>94</v>
      </c>
      <c r="E207" s="19">
        <v>2000</v>
      </c>
      <c r="F207" s="20"/>
      <c r="G207" s="29"/>
      <c r="H207" s="33"/>
      <c r="I207" s="29"/>
      <c r="J207" s="29" t="s">
        <v>75</v>
      </c>
      <c r="AA207" t="str">
        <f t="shared" si="3"/>
        <v>Corn</v>
      </c>
    </row>
    <row r="208" ht="30" customHeight="1" spans="1:27">
      <c r="A208" s="29" t="s">
        <v>25</v>
      </c>
      <c r="B208" s="29" t="s">
        <v>61</v>
      </c>
      <c r="C208" s="13" t="s">
        <v>158</v>
      </c>
      <c r="D208" s="29" t="s">
        <v>95</v>
      </c>
      <c r="E208" s="19">
        <v>1000</v>
      </c>
      <c r="F208" s="20"/>
      <c r="G208" s="29"/>
      <c r="H208" s="33"/>
      <c r="I208" s="29"/>
      <c r="J208" s="29" t="s">
        <v>96</v>
      </c>
      <c r="AA208" t="str">
        <f t="shared" si="3"/>
        <v>Corn</v>
      </c>
    </row>
    <row r="209" ht="30" customHeight="1" spans="1:27">
      <c r="A209" s="29" t="s">
        <v>25</v>
      </c>
      <c r="B209" s="29" t="s">
        <v>61</v>
      </c>
      <c r="C209" s="13" t="s">
        <v>158</v>
      </c>
      <c r="D209" s="29" t="s">
        <v>121</v>
      </c>
      <c r="E209" s="19">
        <v>3000</v>
      </c>
      <c r="F209" s="20">
        <v>3000</v>
      </c>
      <c r="G209" s="29"/>
      <c r="H209" s="33"/>
      <c r="I209" s="33"/>
      <c r="J209" s="29" t="s">
        <v>75</v>
      </c>
      <c r="AA209" t="str">
        <f t="shared" si="3"/>
        <v>Corn</v>
      </c>
    </row>
    <row r="210" ht="30" customHeight="1" spans="1:27">
      <c r="A210" s="29" t="s">
        <v>25</v>
      </c>
      <c r="B210" s="29" t="s">
        <v>61</v>
      </c>
      <c r="C210" s="13" t="s">
        <v>158</v>
      </c>
      <c r="D210" s="29" t="s">
        <v>160</v>
      </c>
      <c r="E210" s="19">
        <v>2500</v>
      </c>
      <c r="F210" s="20"/>
      <c r="G210" s="29"/>
      <c r="H210" s="33"/>
      <c r="I210" s="29"/>
      <c r="J210" s="29" t="s">
        <v>80</v>
      </c>
      <c r="AA210" t="str">
        <f t="shared" si="3"/>
        <v>Livestock (Cattle/Carabao/Swine/Poultry)</v>
      </c>
    </row>
    <row r="211" ht="30" customHeight="1" spans="1:27">
      <c r="A211" s="29" t="s">
        <v>25</v>
      </c>
      <c r="B211" s="29" t="s">
        <v>61</v>
      </c>
      <c r="C211" s="13" t="s">
        <v>158</v>
      </c>
      <c r="D211" s="29" t="s">
        <v>122</v>
      </c>
      <c r="E211" s="19">
        <v>1250</v>
      </c>
      <c r="F211" s="20"/>
      <c r="G211" s="29"/>
      <c r="H211" s="33"/>
      <c r="I211" s="29"/>
      <c r="J211" s="29" t="s">
        <v>96</v>
      </c>
      <c r="AA211" t="str">
        <f t="shared" si="3"/>
        <v>Corn</v>
      </c>
    </row>
    <row r="212" ht="45" customHeight="1" spans="1:27">
      <c r="A212" s="29" t="s">
        <v>25</v>
      </c>
      <c r="B212" s="29" t="s">
        <v>61</v>
      </c>
      <c r="C212" s="13" t="s">
        <v>158</v>
      </c>
      <c r="D212" s="29" t="s">
        <v>36</v>
      </c>
      <c r="E212" s="19">
        <v>500</v>
      </c>
      <c r="F212" s="20"/>
      <c r="G212" s="29"/>
      <c r="H212" s="33"/>
      <c r="I212" s="29"/>
      <c r="J212" s="29" t="s">
        <v>35</v>
      </c>
      <c r="AA212" t="str">
        <f t="shared" si="3"/>
        <v>High Value Crops (Vegetables/Fruits/Rootcrops)</v>
      </c>
    </row>
    <row r="213" ht="45" customHeight="1" spans="1:27">
      <c r="A213" s="29" t="s">
        <v>25</v>
      </c>
      <c r="B213" s="29" t="s">
        <v>61</v>
      </c>
      <c r="C213" s="13" t="s">
        <v>158</v>
      </c>
      <c r="D213" s="29" t="s">
        <v>161</v>
      </c>
      <c r="E213" s="19">
        <v>1500</v>
      </c>
      <c r="F213" s="20"/>
      <c r="G213" s="29"/>
      <c r="H213" s="33"/>
      <c r="I213" s="29"/>
      <c r="J213" s="29" t="s">
        <v>80</v>
      </c>
      <c r="AA213" t="str">
        <f t="shared" si="3"/>
        <v>Livestock (Cattle/Carabao/Swine/Poultry)</v>
      </c>
    </row>
    <row r="214" ht="30" customHeight="1" spans="1:27">
      <c r="A214" s="29" t="s">
        <v>25</v>
      </c>
      <c r="B214" s="29" t="s">
        <v>61</v>
      </c>
      <c r="C214" s="13" t="s">
        <v>158</v>
      </c>
      <c r="D214" s="29" t="s">
        <v>74</v>
      </c>
      <c r="E214" s="19"/>
      <c r="F214" s="20"/>
      <c r="G214" s="29"/>
      <c r="H214" s="33"/>
      <c r="I214" s="29"/>
      <c r="J214" s="29" t="s">
        <v>75</v>
      </c>
      <c r="AA214" t="str">
        <f t="shared" si="3"/>
        <v>Corn</v>
      </c>
    </row>
    <row r="215" ht="45" customHeight="1" spans="1:27">
      <c r="A215" s="29" t="s">
        <v>25</v>
      </c>
      <c r="B215" s="29" t="s">
        <v>61</v>
      </c>
      <c r="C215" s="13" t="s">
        <v>162</v>
      </c>
      <c r="D215" s="29" t="s">
        <v>163</v>
      </c>
      <c r="E215" s="19">
        <v>200000</v>
      </c>
      <c r="F215" s="20"/>
      <c r="G215" s="29"/>
      <c r="H215" s="33"/>
      <c r="I215" s="29"/>
      <c r="J215" s="29" t="s">
        <v>96</v>
      </c>
      <c r="AA215" t="str">
        <f t="shared" si="3"/>
        <v>Corn</v>
      </c>
    </row>
    <row r="216" ht="30" customHeight="1" spans="1:27">
      <c r="A216" s="29" t="s">
        <v>25</v>
      </c>
      <c r="B216" s="29" t="s">
        <v>61</v>
      </c>
      <c r="C216" s="13" t="s">
        <v>162</v>
      </c>
      <c r="D216" s="29" t="s">
        <v>164</v>
      </c>
      <c r="E216" s="19">
        <v>250000</v>
      </c>
      <c r="F216" s="20"/>
      <c r="G216" s="29"/>
      <c r="H216" s="33"/>
      <c r="I216" s="29"/>
      <c r="J216" s="29" t="s">
        <v>75</v>
      </c>
      <c r="AA216" t="str">
        <f t="shared" si="3"/>
        <v>Corn</v>
      </c>
    </row>
    <row r="217" ht="30" customHeight="1" spans="1:27">
      <c r="A217" s="29" t="s">
        <v>25</v>
      </c>
      <c r="B217" s="29" t="s">
        <v>61</v>
      </c>
      <c r="C217" s="13" t="s">
        <v>162</v>
      </c>
      <c r="D217" s="29" t="s">
        <v>165</v>
      </c>
      <c r="E217" s="19">
        <v>549</v>
      </c>
      <c r="F217" s="20"/>
      <c r="G217" s="29"/>
      <c r="H217" s="33"/>
      <c r="I217" s="29"/>
      <c r="J217" s="29" t="s">
        <v>166</v>
      </c>
      <c r="AA217" t="str">
        <f t="shared" si="3"/>
        <v>Various Commodities (4Ks)</v>
      </c>
    </row>
    <row r="218" ht="45" customHeight="1" spans="1:27">
      <c r="A218" s="29" t="s">
        <v>25</v>
      </c>
      <c r="B218" s="29" t="s">
        <v>61</v>
      </c>
      <c r="C218" s="13" t="s">
        <v>162</v>
      </c>
      <c r="D218" s="29" t="s">
        <v>167</v>
      </c>
      <c r="E218" s="19">
        <v>300</v>
      </c>
      <c r="F218" s="20"/>
      <c r="G218" s="29"/>
      <c r="H218" s="33"/>
      <c r="I218" s="29"/>
      <c r="J218" s="29" t="s">
        <v>166</v>
      </c>
      <c r="AA218" t="str">
        <f t="shared" si="3"/>
        <v>Various Commodities (4Ks)</v>
      </c>
    </row>
    <row r="219" ht="30" customHeight="1" spans="1:27">
      <c r="A219" s="29" t="s">
        <v>25</v>
      </c>
      <c r="B219" s="29" t="s">
        <v>61</v>
      </c>
      <c r="C219" s="13" t="s">
        <v>162</v>
      </c>
      <c r="D219" s="29" t="s">
        <v>90</v>
      </c>
      <c r="E219" s="19"/>
      <c r="F219" s="20"/>
      <c r="G219" s="29"/>
      <c r="H219" s="33"/>
      <c r="I219" s="33"/>
      <c r="J219" s="29" t="s">
        <v>75</v>
      </c>
      <c r="AA219" t="str">
        <f t="shared" si="3"/>
        <v>Corn</v>
      </c>
    </row>
    <row r="220" ht="30" customHeight="1" spans="1:27">
      <c r="A220" s="29" t="s">
        <v>25</v>
      </c>
      <c r="B220" s="29" t="s">
        <v>61</v>
      </c>
      <c r="C220" s="13" t="s">
        <v>162</v>
      </c>
      <c r="D220" s="29" t="s">
        <v>70</v>
      </c>
      <c r="E220" s="23">
        <v>70303.3111</v>
      </c>
      <c r="F220" s="20"/>
      <c r="G220" s="29"/>
      <c r="H220" s="33"/>
      <c r="I220" s="29"/>
      <c r="J220" s="29" t="s">
        <v>64</v>
      </c>
      <c r="AA220" t="str">
        <f t="shared" si="3"/>
        <v>Rice</v>
      </c>
    </row>
    <row r="221" ht="30" customHeight="1" spans="1:27">
      <c r="A221" s="29" t="s">
        <v>25</v>
      </c>
      <c r="B221" s="29" t="s">
        <v>61</v>
      </c>
      <c r="C221" s="13" t="s">
        <v>162</v>
      </c>
      <c r="D221" s="29" t="s">
        <v>71</v>
      </c>
      <c r="E221" s="23">
        <v>4649.9692</v>
      </c>
      <c r="F221" s="20"/>
      <c r="G221" s="29"/>
      <c r="H221" s="33"/>
      <c r="I221" s="29"/>
      <c r="J221" s="29" t="s">
        <v>64</v>
      </c>
      <c r="AA221" t="str">
        <f t="shared" si="3"/>
        <v>Rice</v>
      </c>
    </row>
    <row r="222" ht="30" customHeight="1" spans="1:27">
      <c r="A222" s="29" t="s">
        <v>25</v>
      </c>
      <c r="B222" s="29" t="s">
        <v>61</v>
      </c>
      <c r="C222" s="13" t="s">
        <v>162</v>
      </c>
      <c r="D222" s="29" t="s">
        <v>121</v>
      </c>
      <c r="E222" s="19">
        <v>3750</v>
      </c>
      <c r="F222" s="20"/>
      <c r="G222" s="29"/>
      <c r="H222" s="33"/>
      <c r="I222" s="29"/>
      <c r="J222" s="29" t="s">
        <v>75</v>
      </c>
      <c r="AA222" t="str">
        <f t="shared" si="3"/>
        <v>Corn</v>
      </c>
    </row>
    <row r="223" ht="30" customHeight="1" spans="1:27">
      <c r="A223" s="29" t="s">
        <v>25</v>
      </c>
      <c r="B223" s="29" t="s">
        <v>61</v>
      </c>
      <c r="C223" s="13" t="s">
        <v>162</v>
      </c>
      <c r="D223" s="29" t="s">
        <v>122</v>
      </c>
      <c r="E223" s="19">
        <v>1250</v>
      </c>
      <c r="F223" s="20"/>
      <c r="G223" s="29"/>
      <c r="H223" s="33"/>
      <c r="I223" s="29"/>
      <c r="J223" s="29" t="s">
        <v>96</v>
      </c>
      <c r="AA223" t="str">
        <f t="shared" si="3"/>
        <v>Corn</v>
      </c>
    </row>
    <row r="224" ht="30" customHeight="1" spans="1:27">
      <c r="A224" s="29" t="s">
        <v>25</v>
      </c>
      <c r="B224" s="29" t="s">
        <v>61</v>
      </c>
      <c r="C224" s="13" t="s">
        <v>162</v>
      </c>
      <c r="D224" s="29" t="s">
        <v>74</v>
      </c>
      <c r="E224" s="19"/>
      <c r="F224" s="20"/>
      <c r="G224" s="29"/>
      <c r="H224" s="33"/>
      <c r="I224" s="29"/>
      <c r="J224" s="29" t="s">
        <v>75</v>
      </c>
      <c r="AA224" t="str">
        <f t="shared" si="3"/>
        <v>Corn</v>
      </c>
    </row>
    <row r="225" ht="30" customHeight="1" spans="1:27">
      <c r="A225" s="29" t="s">
        <v>25</v>
      </c>
      <c r="B225" s="29" t="s">
        <v>61</v>
      </c>
      <c r="C225" s="13" t="s">
        <v>168</v>
      </c>
      <c r="D225" s="29" t="s">
        <v>77</v>
      </c>
      <c r="E225" s="19"/>
      <c r="F225" s="20">
        <v>1800</v>
      </c>
      <c r="G225" s="29"/>
      <c r="H225" s="29"/>
      <c r="I225" s="33"/>
      <c r="J225" s="29" t="s">
        <v>75</v>
      </c>
      <c r="AA225" t="str">
        <f t="shared" si="3"/>
        <v>Corn</v>
      </c>
    </row>
    <row r="226" ht="30" customHeight="1" spans="1:27">
      <c r="A226" s="29" t="s">
        <v>25</v>
      </c>
      <c r="B226" s="29" t="s">
        <v>61</v>
      </c>
      <c r="C226" s="13" t="s">
        <v>168</v>
      </c>
      <c r="D226" s="29" t="s">
        <v>78</v>
      </c>
      <c r="E226" s="19"/>
      <c r="F226" s="20">
        <v>360</v>
      </c>
      <c r="G226" s="29"/>
      <c r="H226" s="29"/>
      <c r="I226" s="33"/>
      <c r="J226" s="29" t="s">
        <v>75</v>
      </c>
      <c r="AA226" t="str">
        <f t="shared" si="3"/>
        <v>Corn</v>
      </c>
    </row>
    <row r="227" ht="45" customHeight="1" spans="1:27">
      <c r="A227" s="29" t="s">
        <v>25</v>
      </c>
      <c r="B227" s="29" t="s">
        <v>61</v>
      </c>
      <c r="C227" s="13" t="s">
        <v>168</v>
      </c>
      <c r="D227" s="30" t="s">
        <v>169</v>
      </c>
      <c r="E227" s="19">
        <v>26000</v>
      </c>
      <c r="F227" s="20"/>
      <c r="G227" s="29"/>
      <c r="H227" s="29"/>
      <c r="I227" s="29"/>
      <c r="J227" s="29" t="s">
        <v>29</v>
      </c>
      <c r="AA227" t="str">
        <f t="shared" si="3"/>
        <v>Farm-to-Market Road</v>
      </c>
    </row>
    <row r="228" ht="30" customHeight="1" spans="1:27">
      <c r="A228" s="29" t="s">
        <v>25</v>
      </c>
      <c r="B228" s="29" t="s">
        <v>61</v>
      </c>
      <c r="C228" s="13" t="s">
        <v>168</v>
      </c>
      <c r="D228" s="30" t="s">
        <v>170</v>
      </c>
      <c r="E228" s="19"/>
      <c r="F228" s="20">
        <v>15000</v>
      </c>
      <c r="G228" s="29"/>
      <c r="H228" s="29"/>
      <c r="I228" s="29"/>
      <c r="J228" s="29" t="s">
        <v>29</v>
      </c>
      <c r="AA228" t="str">
        <f t="shared" si="3"/>
        <v>Farm-to-Market Road</v>
      </c>
    </row>
    <row r="229" ht="45" customHeight="1" spans="1:27">
      <c r="A229" s="29" t="s">
        <v>25</v>
      </c>
      <c r="B229" s="29" t="s">
        <v>61</v>
      </c>
      <c r="C229" s="13" t="s">
        <v>168</v>
      </c>
      <c r="D229" s="29" t="s">
        <v>171</v>
      </c>
      <c r="E229" s="19">
        <v>91.2</v>
      </c>
      <c r="F229" s="20"/>
      <c r="G229" s="29"/>
      <c r="H229" s="33"/>
      <c r="I229" s="29"/>
      <c r="J229" s="29" t="s">
        <v>166</v>
      </c>
      <c r="AA229" t="str">
        <f t="shared" si="3"/>
        <v>Various Commodities (4Ks)</v>
      </c>
    </row>
    <row r="230" ht="30" customHeight="1" spans="1:27">
      <c r="A230" s="29" t="s">
        <v>25</v>
      </c>
      <c r="B230" s="29" t="s">
        <v>61</v>
      </c>
      <c r="C230" s="13" t="s">
        <v>168</v>
      </c>
      <c r="D230" s="29" t="s">
        <v>165</v>
      </c>
      <c r="E230" s="19">
        <v>549</v>
      </c>
      <c r="F230" s="20"/>
      <c r="G230" s="29"/>
      <c r="H230" s="33"/>
      <c r="I230" s="29"/>
      <c r="J230" s="29" t="s">
        <v>166</v>
      </c>
      <c r="AA230" t="str">
        <f t="shared" si="3"/>
        <v>Various Commodities (4Ks)</v>
      </c>
    </row>
    <row r="231" ht="30" customHeight="1" spans="1:27">
      <c r="A231" s="29" t="s">
        <v>25</v>
      </c>
      <c r="B231" s="29" t="s">
        <v>61</v>
      </c>
      <c r="C231" s="13" t="s">
        <v>168</v>
      </c>
      <c r="D231" s="29" t="s">
        <v>172</v>
      </c>
      <c r="E231" s="19">
        <v>75</v>
      </c>
      <c r="F231" s="20"/>
      <c r="G231" s="29"/>
      <c r="H231" s="33"/>
      <c r="I231" s="29"/>
      <c r="J231" s="29" t="s">
        <v>166</v>
      </c>
      <c r="AA231" t="str">
        <f t="shared" si="3"/>
        <v>Various Commodities (4Ks)</v>
      </c>
    </row>
    <row r="232" spans="1:27">
      <c r="A232" s="29" t="s">
        <v>25</v>
      </c>
      <c r="B232" s="29" t="s">
        <v>61</v>
      </c>
      <c r="C232" s="13" t="s">
        <v>168</v>
      </c>
      <c r="D232" s="29" t="s">
        <v>90</v>
      </c>
      <c r="E232" s="19"/>
      <c r="F232" s="20"/>
      <c r="G232" s="29"/>
      <c r="H232" s="33"/>
      <c r="I232" s="33"/>
      <c r="J232" s="29" t="s">
        <v>75</v>
      </c>
      <c r="AA232" t="str">
        <f t="shared" si="3"/>
        <v>Corn</v>
      </c>
    </row>
    <row r="233" ht="30" customHeight="1" spans="1:27">
      <c r="A233" s="29" t="s">
        <v>25</v>
      </c>
      <c r="B233" s="29" t="s">
        <v>61</v>
      </c>
      <c r="C233" s="13" t="s">
        <v>168</v>
      </c>
      <c r="D233" s="29" t="s">
        <v>70</v>
      </c>
      <c r="E233" s="23">
        <v>51206.2552</v>
      </c>
      <c r="F233" s="20"/>
      <c r="G233" s="29"/>
      <c r="H233" s="33"/>
      <c r="I233" s="29"/>
      <c r="J233" s="29" t="s">
        <v>64</v>
      </c>
      <c r="AA233" t="str">
        <f t="shared" si="3"/>
        <v>Rice</v>
      </c>
    </row>
    <row r="234" ht="45" customHeight="1" spans="1:27">
      <c r="A234" s="29" t="s">
        <v>25</v>
      </c>
      <c r="B234" s="29" t="s">
        <v>61</v>
      </c>
      <c r="C234" s="13" t="s">
        <v>168</v>
      </c>
      <c r="D234" s="29" t="s">
        <v>173</v>
      </c>
      <c r="E234" s="19"/>
      <c r="F234" s="20"/>
      <c r="G234" s="29"/>
      <c r="H234" s="29"/>
      <c r="I234" s="33"/>
      <c r="J234" s="29" t="s">
        <v>75</v>
      </c>
      <c r="AA234" t="str">
        <f t="shared" si="3"/>
        <v>Corn</v>
      </c>
    </row>
    <row r="235" ht="45" customHeight="1" spans="1:27">
      <c r="A235" s="29" t="s">
        <v>25</v>
      </c>
      <c r="B235" s="29" t="s">
        <v>61</v>
      </c>
      <c r="C235" s="13" t="s">
        <v>168</v>
      </c>
      <c r="D235" s="29" t="s">
        <v>91</v>
      </c>
      <c r="E235" s="19"/>
      <c r="F235" s="20">
        <v>6600</v>
      </c>
      <c r="G235" s="29"/>
      <c r="H235" s="29"/>
      <c r="I235" s="33"/>
      <c r="J235" s="29" t="s">
        <v>75</v>
      </c>
      <c r="AA235" t="str">
        <f t="shared" si="3"/>
        <v>Corn</v>
      </c>
    </row>
    <row r="236" ht="30" spans="1:27">
      <c r="A236" s="29" t="s">
        <v>25</v>
      </c>
      <c r="B236" s="29" t="s">
        <v>61</v>
      </c>
      <c r="C236" s="13" t="s">
        <v>168</v>
      </c>
      <c r="D236" s="29" t="s">
        <v>71</v>
      </c>
      <c r="E236" s="23">
        <v>3386.8605</v>
      </c>
      <c r="F236" s="20"/>
      <c r="G236" s="29"/>
      <c r="H236" s="33"/>
      <c r="I236" s="29"/>
      <c r="J236" s="29" t="s">
        <v>64</v>
      </c>
      <c r="AA236" t="str">
        <f t="shared" si="3"/>
        <v>Rice</v>
      </c>
    </row>
    <row r="237" ht="30" customHeight="1" spans="1:27">
      <c r="A237" s="29" t="s">
        <v>25</v>
      </c>
      <c r="B237" s="29" t="s">
        <v>61</v>
      </c>
      <c r="C237" s="13" t="s">
        <v>168</v>
      </c>
      <c r="D237" s="29" t="s">
        <v>174</v>
      </c>
      <c r="E237" s="19">
        <v>30</v>
      </c>
      <c r="F237" s="20"/>
      <c r="G237" s="29"/>
      <c r="H237" s="33"/>
      <c r="I237" s="29"/>
      <c r="J237" s="29" t="s">
        <v>166</v>
      </c>
      <c r="AA237" t="str">
        <f t="shared" si="3"/>
        <v>Various Commodities (4Ks)</v>
      </c>
    </row>
    <row r="238" ht="30" customHeight="1" spans="1:27">
      <c r="A238" s="29" t="s">
        <v>25</v>
      </c>
      <c r="B238" s="29" t="s">
        <v>61</v>
      </c>
      <c r="C238" s="13" t="s">
        <v>168</v>
      </c>
      <c r="D238" s="29" t="s">
        <v>175</v>
      </c>
      <c r="E238" s="19">
        <v>222.5</v>
      </c>
      <c r="F238" s="20"/>
      <c r="G238" s="29"/>
      <c r="H238" s="33"/>
      <c r="I238" s="29"/>
      <c r="J238" s="29" t="s">
        <v>166</v>
      </c>
      <c r="AA238" t="str">
        <f t="shared" si="3"/>
        <v>Various Commodities (4Ks)</v>
      </c>
    </row>
    <row r="239" spans="1:27">
      <c r="A239" s="29" t="s">
        <v>25</v>
      </c>
      <c r="B239" s="29" t="s">
        <v>61</v>
      </c>
      <c r="C239" s="13" t="s">
        <v>168</v>
      </c>
      <c r="D239" s="29" t="s">
        <v>176</v>
      </c>
      <c r="E239" s="19">
        <v>300</v>
      </c>
      <c r="F239" s="20"/>
      <c r="G239" s="29"/>
      <c r="H239" s="33"/>
      <c r="I239" s="29"/>
      <c r="J239" s="29" t="s">
        <v>166</v>
      </c>
      <c r="AA239" t="str">
        <f t="shared" si="3"/>
        <v>Various Commodities (4Ks)</v>
      </c>
    </row>
    <row r="240" ht="30" customHeight="1" spans="1:27">
      <c r="A240" s="29" t="s">
        <v>25</v>
      </c>
      <c r="B240" s="29" t="s">
        <v>61</v>
      </c>
      <c r="C240" s="13" t="s">
        <v>168</v>
      </c>
      <c r="D240" s="29" t="s">
        <v>177</v>
      </c>
      <c r="E240" s="19">
        <v>60</v>
      </c>
      <c r="F240" s="20"/>
      <c r="G240" s="29"/>
      <c r="H240" s="33"/>
      <c r="I240" s="29"/>
      <c r="J240" s="29" t="s">
        <v>166</v>
      </c>
      <c r="AA240" t="str">
        <f t="shared" si="3"/>
        <v>Various Commodities (4Ks)</v>
      </c>
    </row>
    <row r="241" ht="30" customHeight="1" spans="1:27">
      <c r="A241" s="29" t="s">
        <v>25</v>
      </c>
      <c r="B241" s="29" t="s">
        <v>61</v>
      </c>
      <c r="C241" s="13" t="s">
        <v>168</v>
      </c>
      <c r="D241" s="29" t="s">
        <v>160</v>
      </c>
      <c r="E241" s="19">
        <v>2500</v>
      </c>
      <c r="F241" s="20"/>
      <c r="G241" s="29"/>
      <c r="H241" s="33"/>
      <c r="I241" s="29"/>
      <c r="J241" s="29" t="s">
        <v>80</v>
      </c>
      <c r="AA241" t="str">
        <f t="shared" si="3"/>
        <v>Livestock (Cattle/Carabao/Swine/Poultry)</v>
      </c>
    </row>
    <row r="242" ht="30" customHeight="1" spans="1:27">
      <c r="A242" s="29" t="s">
        <v>25</v>
      </c>
      <c r="B242" s="29" t="s">
        <v>61</v>
      </c>
      <c r="C242" s="13" t="s">
        <v>168</v>
      </c>
      <c r="D242" s="29" t="s">
        <v>178</v>
      </c>
      <c r="E242" s="19">
        <v>2500</v>
      </c>
      <c r="F242" s="20"/>
      <c r="G242" s="29"/>
      <c r="H242" s="33"/>
      <c r="I242" s="29"/>
      <c r="J242" s="29" t="s">
        <v>80</v>
      </c>
      <c r="AA242" t="str">
        <f t="shared" si="3"/>
        <v>Livestock (Cattle/Carabao/Swine/Poultry)</v>
      </c>
    </row>
    <row r="243" ht="30" customHeight="1" spans="1:27">
      <c r="A243" s="29" t="s">
        <v>25</v>
      </c>
      <c r="B243" s="29" t="s">
        <v>61</v>
      </c>
      <c r="C243" s="13" t="s">
        <v>168</v>
      </c>
      <c r="D243" s="29" t="s">
        <v>179</v>
      </c>
      <c r="E243" s="19">
        <v>4120</v>
      </c>
      <c r="F243" s="20"/>
      <c r="G243" s="29"/>
      <c r="H243" s="33"/>
      <c r="I243" s="29"/>
      <c r="J243" s="29" t="s">
        <v>67</v>
      </c>
      <c r="AA243" t="str">
        <f t="shared" si="3"/>
        <v>Rice</v>
      </c>
    </row>
    <row r="244" ht="30" customHeight="1" spans="1:27">
      <c r="A244" s="29" t="s">
        <v>25</v>
      </c>
      <c r="B244" s="29" t="s">
        <v>61</v>
      </c>
      <c r="C244" s="13" t="s">
        <v>168</v>
      </c>
      <c r="D244" s="29" t="s">
        <v>180</v>
      </c>
      <c r="E244" s="19">
        <v>1500</v>
      </c>
      <c r="F244" s="20"/>
      <c r="G244" s="29"/>
      <c r="H244" s="33"/>
      <c r="I244" s="29"/>
      <c r="J244" s="29" t="s">
        <v>166</v>
      </c>
      <c r="AA244" t="str">
        <f t="shared" si="3"/>
        <v>Various Commodities (4Ks)</v>
      </c>
    </row>
    <row r="245" ht="30" customHeight="1" spans="1:27">
      <c r="A245" s="29" t="s">
        <v>25</v>
      </c>
      <c r="B245" s="29" t="s">
        <v>61</v>
      </c>
      <c r="C245" s="13" t="s">
        <v>168</v>
      </c>
      <c r="D245" s="29" t="s">
        <v>181</v>
      </c>
      <c r="E245" s="19">
        <v>119.88</v>
      </c>
      <c r="F245" s="20"/>
      <c r="G245" s="29"/>
      <c r="H245" s="33"/>
      <c r="I245" s="29"/>
      <c r="J245" s="29" t="s">
        <v>166</v>
      </c>
      <c r="AA245" t="str">
        <f t="shared" si="3"/>
        <v>Various Commodities (4Ks)</v>
      </c>
    </row>
    <row r="246" ht="45" customHeight="1" spans="1:27">
      <c r="A246" s="29" t="s">
        <v>25</v>
      </c>
      <c r="B246" s="29" t="s">
        <v>61</v>
      </c>
      <c r="C246" s="13" t="s">
        <v>182</v>
      </c>
      <c r="D246" s="29" t="s">
        <v>115</v>
      </c>
      <c r="E246" s="23">
        <v>4745.3328</v>
      </c>
      <c r="F246" s="24">
        <v>584.041</v>
      </c>
      <c r="G246" s="29"/>
      <c r="H246" s="33"/>
      <c r="I246" s="33"/>
      <c r="J246" s="29" t="s">
        <v>64</v>
      </c>
      <c r="AA246" t="str">
        <f t="shared" si="3"/>
        <v>Rice</v>
      </c>
    </row>
    <row r="247" ht="45" customHeight="1" spans="1:27">
      <c r="A247" s="29" t="s">
        <v>25</v>
      </c>
      <c r="B247" s="29" t="s">
        <v>61</v>
      </c>
      <c r="C247" s="13" t="s">
        <v>182</v>
      </c>
      <c r="D247" s="29" t="s">
        <v>90</v>
      </c>
      <c r="E247" s="19"/>
      <c r="F247" s="20"/>
      <c r="G247" s="29"/>
      <c r="H247" s="33"/>
      <c r="I247" s="33"/>
      <c r="J247" s="29" t="s">
        <v>75</v>
      </c>
      <c r="AA247" t="str">
        <f t="shared" si="3"/>
        <v>Corn</v>
      </c>
    </row>
    <row r="248" ht="30" customHeight="1" spans="1:27">
      <c r="A248" s="29" t="s">
        <v>25</v>
      </c>
      <c r="B248" s="29" t="s">
        <v>61</v>
      </c>
      <c r="C248" s="13" t="s">
        <v>182</v>
      </c>
      <c r="D248" s="29" t="s">
        <v>70</v>
      </c>
      <c r="E248" s="23">
        <v>21353.9975</v>
      </c>
      <c r="F248" s="20"/>
      <c r="G248" s="29"/>
      <c r="H248" s="33"/>
      <c r="I248" s="29"/>
      <c r="J248" s="29" t="s">
        <v>64</v>
      </c>
      <c r="AA248" t="str">
        <f t="shared" si="3"/>
        <v>Rice</v>
      </c>
    </row>
    <row r="249" ht="30" customHeight="1" spans="1:27">
      <c r="A249" s="29" t="s">
        <v>25</v>
      </c>
      <c r="B249" s="29" t="s">
        <v>61</v>
      </c>
      <c r="C249" s="13" t="s">
        <v>182</v>
      </c>
      <c r="D249" s="29" t="s">
        <v>71</v>
      </c>
      <c r="E249" s="23">
        <v>1412.3862</v>
      </c>
      <c r="F249" s="20"/>
      <c r="G249" s="29"/>
      <c r="H249" s="33"/>
      <c r="I249" s="29"/>
      <c r="J249" s="29" t="s">
        <v>64</v>
      </c>
      <c r="AA249" t="str">
        <f t="shared" si="3"/>
        <v>Rice</v>
      </c>
    </row>
    <row r="250" ht="30" customHeight="1" spans="1:27">
      <c r="A250" s="29" t="s">
        <v>25</v>
      </c>
      <c r="B250" s="29" t="s">
        <v>61</v>
      </c>
      <c r="C250" s="13" t="s">
        <v>182</v>
      </c>
      <c r="D250" s="29" t="s">
        <v>121</v>
      </c>
      <c r="E250" s="19">
        <v>3000</v>
      </c>
      <c r="F250" s="20">
        <v>3000</v>
      </c>
      <c r="G250" s="29"/>
      <c r="H250" s="33"/>
      <c r="I250" s="33"/>
      <c r="J250" s="29" t="s">
        <v>75</v>
      </c>
      <c r="AA250" t="str">
        <f t="shared" si="3"/>
        <v>Corn</v>
      </c>
    </row>
    <row r="251" ht="30" customHeight="1" spans="1:27">
      <c r="A251" s="29" t="s">
        <v>25</v>
      </c>
      <c r="B251" s="29" t="s">
        <v>61</v>
      </c>
      <c r="C251" s="13" t="s">
        <v>182</v>
      </c>
      <c r="D251" s="29" t="s">
        <v>122</v>
      </c>
      <c r="E251" s="19">
        <v>1250</v>
      </c>
      <c r="F251" s="20"/>
      <c r="G251" s="29"/>
      <c r="H251" s="33"/>
      <c r="I251" s="29"/>
      <c r="J251" s="29" t="s">
        <v>96</v>
      </c>
      <c r="AA251" t="str">
        <f t="shared" si="3"/>
        <v>Corn</v>
      </c>
    </row>
    <row r="252" ht="30" customHeight="1" spans="1:27">
      <c r="A252" s="29" t="s">
        <v>25</v>
      </c>
      <c r="B252" s="29" t="s">
        <v>61</v>
      </c>
      <c r="C252" s="13" t="s">
        <v>182</v>
      </c>
      <c r="D252" s="29" t="s">
        <v>74</v>
      </c>
      <c r="E252" s="19"/>
      <c r="F252" s="20"/>
      <c r="G252" s="29"/>
      <c r="H252" s="33"/>
      <c r="I252" s="29"/>
      <c r="J252" s="29" t="s">
        <v>75</v>
      </c>
      <c r="AA252" t="str">
        <f t="shared" si="3"/>
        <v>Corn</v>
      </c>
    </row>
    <row r="253" ht="30" customHeight="1" spans="1:27">
      <c r="A253" s="29" t="s">
        <v>25</v>
      </c>
      <c r="B253" s="29" t="s">
        <v>61</v>
      </c>
      <c r="C253" s="13" t="s">
        <v>183</v>
      </c>
      <c r="D253" s="29" t="s">
        <v>116</v>
      </c>
      <c r="E253" s="19">
        <v>3200</v>
      </c>
      <c r="F253" s="20"/>
      <c r="G253" s="29"/>
      <c r="H253" s="33"/>
      <c r="I253" s="29"/>
      <c r="J253" s="29" t="s">
        <v>96</v>
      </c>
      <c r="AA253" t="str">
        <f t="shared" si="3"/>
        <v>Corn</v>
      </c>
    </row>
    <row r="254" ht="45" customHeight="1" spans="1:27">
      <c r="A254" s="29" t="s">
        <v>25</v>
      </c>
      <c r="B254" s="29" t="s">
        <v>61</v>
      </c>
      <c r="C254" s="13" t="s">
        <v>183</v>
      </c>
      <c r="D254" s="29" t="s">
        <v>117</v>
      </c>
      <c r="E254" s="19">
        <v>6200</v>
      </c>
      <c r="F254" s="20"/>
      <c r="G254" s="29"/>
      <c r="H254" s="33"/>
      <c r="I254" s="29"/>
      <c r="J254" s="29" t="s">
        <v>75</v>
      </c>
      <c r="AA254" t="str">
        <f t="shared" si="3"/>
        <v>Corn</v>
      </c>
    </row>
    <row r="255" ht="45" customHeight="1" spans="1:27">
      <c r="A255" s="29" t="s">
        <v>25</v>
      </c>
      <c r="B255" s="29" t="s">
        <v>61</v>
      </c>
      <c r="C255" s="13" t="s">
        <v>183</v>
      </c>
      <c r="D255" s="29" t="s">
        <v>90</v>
      </c>
      <c r="E255" s="19"/>
      <c r="F255" s="20"/>
      <c r="G255" s="29"/>
      <c r="H255" s="33"/>
      <c r="I255" s="33"/>
      <c r="J255" s="29" t="s">
        <v>75</v>
      </c>
      <c r="AA255" t="str">
        <f t="shared" si="3"/>
        <v>Corn</v>
      </c>
    </row>
    <row r="256" ht="30" customHeight="1" spans="1:27">
      <c r="A256" s="29" t="s">
        <v>25</v>
      </c>
      <c r="B256" s="29" t="s">
        <v>61</v>
      </c>
      <c r="C256" s="13" t="s">
        <v>183</v>
      </c>
      <c r="D256" s="29" t="s">
        <v>70</v>
      </c>
      <c r="E256" s="23">
        <v>49649.5869</v>
      </c>
      <c r="F256" s="20"/>
      <c r="G256" s="29"/>
      <c r="H256" s="33"/>
      <c r="I256" s="29"/>
      <c r="J256" s="29" t="s">
        <v>64</v>
      </c>
      <c r="AA256" t="str">
        <f t="shared" si="3"/>
        <v>Rice</v>
      </c>
    </row>
    <row r="257" ht="30" customHeight="1" spans="1:27">
      <c r="A257" s="29" t="s">
        <v>25</v>
      </c>
      <c r="B257" s="29" t="s">
        <v>61</v>
      </c>
      <c r="C257" s="13" t="s">
        <v>183</v>
      </c>
      <c r="D257" s="29" t="s">
        <v>71</v>
      </c>
      <c r="E257" s="23">
        <v>3283.9001</v>
      </c>
      <c r="F257" s="20"/>
      <c r="G257" s="29"/>
      <c r="H257" s="33"/>
      <c r="I257" s="29"/>
      <c r="J257" s="29" t="s">
        <v>64</v>
      </c>
      <c r="AA257" t="str">
        <f t="shared" si="3"/>
        <v>Rice</v>
      </c>
    </row>
    <row r="258" ht="30" customHeight="1" spans="1:27">
      <c r="A258" s="29" t="s">
        <v>25</v>
      </c>
      <c r="B258" s="29" t="s">
        <v>61</v>
      </c>
      <c r="C258" s="13" t="s">
        <v>183</v>
      </c>
      <c r="D258" s="29" t="s">
        <v>92</v>
      </c>
      <c r="E258" s="19">
        <v>318.75</v>
      </c>
      <c r="F258" s="20"/>
      <c r="G258" s="29"/>
      <c r="H258" s="33"/>
      <c r="I258" s="29"/>
      <c r="J258" s="29" t="s">
        <v>35</v>
      </c>
      <c r="AA258" t="str">
        <f t="shared" si="3"/>
        <v>High Value Crops (Vegetables/Fruits/Rootcrops)</v>
      </c>
    </row>
    <row r="259" ht="30" customHeight="1" spans="1:27">
      <c r="A259" s="29" t="s">
        <v>25</v>
      </c>
      <c r="B259" s="29" t="s">
        <v>61</v>
      </c>
      <c r="C259" s="13" t="s">
        <v>183</v>
      </c>
      <c r="D259" s="29" t="s">
        <v>36</v>
      </c>
      <c r="E259" s="19">
        <v>750</v>
      </c>
      <c r="F259" s="20"/>
      <c r="G259" s="29"/>
      <c r="H259" s="33"/>
      <c r="I259" s="29"/>
      <c r="J259" s="29" t="s">
        <v>35</v>
      </c>
      <c r="AA259" t="str">
        <f t="shared" si="3"/>
        <v>High Value Crops (Vegetables/Fruits/Rootcrops)</v>
      </c>
    </row>
    <row r="260" ht="30" customHeight="1" spans="1:27">
      <c r="A260" s="29" t="s">
        <v>25</v>
      </c>
      <c r="B260" s="29" t="s">
        <v>61</v>
      </c>
      <c r="C260" s="13" t="s">
        <v>183</v>
      </c>
      <c r="D260" s="29" t="s">
        <v>74</v>
      </c>
      <c r="E260" s="19"/>
      <c r="F260" s="20"/>
      <c r="G260" s="29"/>
      <c r="H260" s="33"/>
      <c r="I260" s="29"/>
      <c r="J260" s="29" t="s">
        <v>75</v>
      </c>
      <c r="AA260" t="str">
        <f t="shared" si="3"/>
        <v>Corn</v>
      </c>
    </row>
    <row r="261" ht="30" customHeight="1" spans="1:27">
      <c r="A261" s="29" t="s">
        <v>25</v>
      </c>
      <c r="B261" s="29" t="s">
        <v>61</v>
      </c>
      <c r="C261" s="13" t="s">
        <v>183</v>
      </c>
      <c r="D261" s="29" t="s">
        <v>184</v>
      </c>
      <c r="E261" s="19">
        <v>200</v>
      </c>
      <c r="F261" s="20"/>
      <c r="G261" s="29"/>
      <c r="H261" s="33"/>
      <c r="I261" s="29"/>
      <c r="J261" s="29" t="s">
        <v>35</v>
      </c>
      <c r="AA261" t="str">
        <f t="shared" si="3"/>
        <v>High Value Crops (Vegetables/Fruits/Rootcrops)</v>
      </c>
    </row>
    <row r="262" ht="30" customHeight="1" spans="1:27">
      <c r="A262" s="29" t="s">
        <v>25</v>
      </c>
      <c r="B262" s="29" t="s">
        <v>61</v>
      </c>
      <c r="C262" s="13" t="s">
        <v>185</v>
      </c>
      <c r="D262" s="29" t="s">
        <v>77</v>
      </c>
      <c r="E262" s="19">
        <v>1800</v>
      </c>
      <c r="F262" s="20">
        <v>1800</v>
      </c>
      <c r="G262" s="29"/>
      <c r="H262" s="33"/>
      <c r="I262" s="33"/>
      <c r="J262" s="29" t="s">
        <v>75</v>
      </c>
      <c r="AA262" t="str">
        <f t="shared" si="3"/>
        <v>Corn</v>
      </c>
    </row>
    <row r="263" ht="30" customHeight="1" spans="1:27">
      <c r="A263" s="29" t="s">
        <v>25</v>
      </c>
      <c r="B263" s="29" t="s">
        <v>61</v>
      </c>
      <c r="C263" s="13" t="s">
        <v>185</v>
      </c>
      <c r="D263" s="29" t="s">
        <v>78</v>
      </c>
      <c r="E263" s="19">
        <v>360</v>
      </c>
      <c r="F263" s="20">
        <v>360</v>
      </c>
      <c r="G263" s="29"/>
      <c r="H263" s="33"/>
      <c r="I263" s="33"/>
      <c r="J263" s="29" t="s">
        <v>75</v>
      </c>
      <c r="AA263" t="str">
        <f t="shared" si="3"/>
        <v>Corn</v>
      </c>
    </row>
    <row r="264" ht="30" customHeight="1" spans="1:27">
      <c r="A264" s="29" t="s">
        <v>25</v>
      </c>
      <c r="B264" s="29" t="s">
        <v>61</v>
      </c>
      <c r="C264" s="13" t="s">
        <v>185</v>
      </c>
      <c r="D264" s="30" t="s">
        <v>186</v>
      </c>
      <c r="E264" s="19"/>
      <c r="F264" s="20">
        <v>15000</v>
      </c>
      <c r="G264" s="29"/>
      <c r="H264" s="29"/>
      <c r="I264" s="29"/>
      <c r="J264" s="29" t="s">
        <v>29</v>
      </c>
      <c r="AA264" t="str">
        <f t="shared" si="3"/>
        <v>Farm-to-Market Road</v>
      </c>
    </row>
    <row r="265" ht="30" customHeight="1" spans="1:27">
      <c r="A265" s="29" t="s">
        <v>25</v>
      </c>
      <c r="B265" s="29" t="s">
        <v>61</v>
      </c>
      <c r="C265" s="13" t="s">
        <v>185</v>
      </c>
      <c r="D265" s="30" t="s">
        <v>187</v>
      </c>
      <c r="E265" s="19"/>
      <c r="F265" s="20">
        <v>15000</v>
      </c>
      <c r="G265" s="29"/>
      <c r="H265" s="29"/>
      <c r="I265" s="29"/>
      <c r="J265" s="29" t="s">
        <v>29</v>
      </c>
      <c r="AA265" t="str">
        <f t="shared" si="3"/>
        <v>Farm-to-Market Road</v>
      </c>
    </row>
    <row r="266" ht="30" customHeight="1" spans="1:27">
      <c r="A266" s="29" t="s">
        <v>25</v>
      </c>
      <c r="B266" s="29" t="s">
        <v>61</v>
      </c>
      <c r="C266" s="13" t="s">
        <v>185</v>
      </c>
      <c r="D266" s="30" t="s">
        <v>188</v>
      </c>
      <c r="E266" s="19">
        <v>15000</v>
      </c>
      <c r="F266" s="20"/>
      <c r="G266" s="29"/>
      <c r="H266" s="29"/>
      <c r="I266" s="29"/>
      <c r="J266" s="29" t="s">
        <v>29</v>
      </c>
      <c r="AA266" t="str">
        <f t="shared" ref="AA266:AA329" si="4">_xlfn.IFS(J266="DA-FMRDP","Farm-to-Market Road",J266="DA-RFO2 RICE","Rice",J266="DA-RFO2 Rice Program","Rice",J266="DA-RFO2 CORN","Corn",J266="DA-RFO2 Corn Program","Corn",J266="DA-RFO2 HVCDP","High Value Crops (Vegetables/Fruits/Rootcrops)",J266="DA-RFO2 HVCDP Export","High Value Export Crops (Dragon Fruit/Ube/Okra/Banana)",J266="DA-RFO2 HVCDP Coffee","Coffee (HVCDP)",J266="DA-RFO2 LIVESTOCK","Livestock (Cattle/Carabao/Swine/Poultry)",J266="DA-RFO2 SAAD","Various Commodities (SAAD)",J266="DA-RFO2 4K","Various Commodities (4Ks)",J266="DA-RFO2 4KS","Various Commodities (4Ks)",J266="DA-RFO2 HALAL","Halal Food Products",J266="DA-RFO2 OAP","Organic Agriculture",J266="DA-RFO2 NUPAP","Vegetables (NUPAP/Urban Agri)",TRUE,IF(ISNUMBER(SEARCH("FMR",D266)),"Farm-to-Market Road",IF(ISNUMBER(SEARCH("RICE",D266)),"Rice",IF(ISNUMBER(SEARCH("CORN",D266)),"Corn",IF(ISNUMBER(SEARCH("HVCDP COFFEE",D266)),"Coffee (HVCDP)",IF(ISNUMBER(SEARCH("HVCDP EXPORT",D266)),"High Value Export Crops (Dragon Fruit/Ube/Okra/Banana)",IF(ISNUMBER(SEARCH("HVCDP",D266)),"High Value Crops (Vegetables/Fruits/Rootcrops)",IF(ISNUMBER(SEARCH("LIVESTOCK",D266)),"Livestock (Cattle/Carabao/Swine/Poultry)",IF(ISNUMBER(SEARCH("SAAD",D266)),"Various Commodities (SAAD)",IF(ISNUMBER(SEARCH("4KS",D266)),"Various Commodities (4Ks)",IF(ISNUMBER(SEARCH("4K",D266)),"Various Commodities (4Ks)",IF(ISNUMBER(SEARCH("HALAL",D266)),"Halal Food Products",IF(ISNUMBER(SEARCH("OAP",D266)),"Organic Agriculture",IF(ISNUMBER(SEARCH("NUPAP",D266)),"Vegetables (NUPAP/Urban Agri)",""))))))))))))))</f>
        <v>Farm-to-Market Road</v>
      </c>
    </row>
    <row r="267" ht="30" customHeight="1" spans="1:27">
      <c r="A267" s="29" t="s">
        <v>25</v>
      </c>
      <c r="B267" s="29" t="s">
        <v>61</v>
      </c>
      <c r="C267" s="13" t="s">
        <v>185</v>
      </c>
      <c r="D267" s="29" t="s">
        <v>63</v>
      </c>
      <c r="E267" s="23">
        <v>9952.4588</v>
      </c>
      <c r="F267" s="24">
        <v>1224.918</v>
      </c>
      <c r="G267" s="29"/>
      <c r="H267" s="33"/>
      <c r="I267" s="33"/>
      <c r="J267" s="29" t="s">
        <v>64</v>
      </c>
      <c r="AA267" t="str">
        <f t="shared" si="4"/>
        <v>Rice</v>
      </c>
    </row>
    <row r="268" ht="30" customHeight="1" spans="1:27">
      <c r="A268" s="29" t="s">
        <v>25</v>
      </c>
      <c r="B268" s="29" t="s">
        <v>61</v>
      </c>
      <c r="C268" s="13" t="s">
        <v>185</v>
      </c>
      <c r="D268" s="29" t="s">
        <v>70</v>
      </c>
      <c r="E268" s="23">
        <v>44786.0647</v>
      </c>
      <c r="F268" s="20"/>
      <c r="G268" s="29"/>
      <c r="H268" s="33"/>
      <c r="I268" s="29"/>
      <c r="J268" s="29" t="s">
        <v>64</v>
      </c>
      <c r="AA268" t="str">
        <f t="shared" si="4"/>
        <v>Rice</v>
      </c>
    </row>
    <row r="269" ht="30" customHeight="1" spans="1:27">
      <c r="A269" s="29" t="s">
        <v>25</v>
      </c>
      <c r="B269" s="29" t="s">
        <v>61</v>
      </c>
      <c r="C269" s="13" t="s">
        <v>185</v>
      </c>
      <c r="D269" s="29" t="s">
        <v>118</v>
      </c>
      <c r="E269" s="19"/>
      <c r="F269" s="20"/>
      <c r="G269" s="29"/>
      <c r="H269" s="33"/>
      <c r="I269" s="33"/>
      <c r="J269" s="29" t="s">
        <v>75</v>
      </c>
      <c r="AA269" t="str">
        <f t="shared" si="4"/>
        <v>Corn</v>
      </c>
    </row>
    <row r="270" ht="30" customHeight="1" spans="1:27">
      <c r="A270" s="29" t="s">
        <v>25</v>
      </c>
      <c r="B270" s="29" t="s">
        <v>61</v>
      </c>
      <c r="C270" s="13" t="s">
        <v>185</v>
      </c>
      <c r="D270" s="29" t="s">
        <v>91</v>
      </c>
      <c r="E270" s="19">
        <v>6600</v>
      </c>
      <c r="F270" s="20"/>
      <c r="G270" s="29"/>
      <c r="H270" s="33"/>
      <c r="I270" s="33"/>
      <c r="J270" s="29" t="s">
        <v>75</v>
      </c>
      <c r="AA270" t="str">
        <f t="shared" si="4"/>
        <v>Corn</v>
      </c>
    </row>
    <row r="271" ht="30" customHeight="1" spans="1:27">
      <c r="A271" s="29" t="s">
        <v>25</v>
      </c>
      <c r="B271" s="29" t="s">
        <v>61</v>
      </c>
      <c r="C271" s="13" t="s">
        <v>185</v>
      </c>
      <c r="D271" s="29" t="s">
        <v>71</v>
      </c>
      <c r="E271" s="23">
        <v>2962.2192</v>
      </c>
      <c r="F271" s="20"/>
      <c r="G271" s="29"/>
      <c r="H271" s="33"/>
      <c r="I271" s="29"/>
      <c r="J271" s="29" t="s">
        <v>64</v>
      </c>
      <c r="AA271" t="str">
        <f t="shared" si="4"/>
        <v>Rice</v>
      </c>
    </row>
    <row r="272" ht="30" customHeight="1" spans="1:27">
      <c r="A272" s="29" t="s">
        <v>25</v>
      </c>
      <c r="B272" s="29" t="s">
        <v>61</v>
      </c>
      <c r="C272" s="13" t="s">
        <v>185</v>
      </c>
      <c r="D272" s="29" t="s">
        <v>119</v>
      </c>
      <c r="E272" s="19">
        <v>200</v>
      </c>
      <c r="F272" s="20"/>
      <c r="G272" s="29"/>
      <c r="H272" s="33"/>
      <c r="I272" s="29"/>
      <c r="J272" s="29" t="s">
        <v>96</v>
      </c>
      <c r="AA272" t="str">
        <f t="shared" si="4"/>
        <v>Corn</v>
      </c>
    </row>
    <row r="273" ht="30" customHeight="1" spans="1:27">
      <c r="A273" s="29" t="s">
        <v>25</v>
      </c>
      <c r="B273" s="29" t="s">
        <v>61</v>
      </c>
      <c r="C273" s="13" t="s">
        <v>185</v>
      </c>
      <c r="D273" s="29" t="s">
        <v>120</v>
      </c>
      <c r="E273" s="19">
        <v>400</v>
      </c>
      <c r="F273" s="20"/>
      <c r="G273" s="29"/>
      <c r="H273" s="33"/>
      <c r="I273" s="29"/>
      <c r="J273" s="29" t="s">
        <v>75</v>
      </c>
      <c r="AA273" t="str">
        <f t="shared" si="4"/>
        <v>Corn</v>
      </c>
    </row>
    <row r="274" ht="30" customHeight="1" spans="1:27">
      <c r="A274" s="29" t="s">
        <v>25</v>
      </c>
      <c r="B274" s="29" t="s">
        <v>61</v>
      </c>
      <c r="C274" s="13" t="s">
        <v>185</v>
      </c>
      <c r="D274" s="29" t="s">
        <v>99</v>
      </c>
      <c r="E274" s="19">
        <v>14610</v>
      </c>
      <c r="F274" s="20"/>
      <c r="G274" s="29"/>
      <c r="H274" s="33"/>
      <c r="I274" s="29"/>
      <c r="J274" s="29" t="s">
        <v>75</v>
      </c>
      <c r="AA274" t="str">
        <f t="shared" si="4"/>
        <v>Corn</v>
      </c>
    </row>
    <row r="275" spans="1:27">
      <c r="A275" s="29" t="s">
        <v>25</v>
      </c>
      <c r="B275" s="29" t="s">
        <v>61</v>
      </c>
      <c r="C275" s="13" t="s">
        <v>185</v>
      </c>
      <c r="D275" s="29" t="s">
        <v>189</v>
      </c>
      <c r="E275" s="19">
        <v>400</v>
      </c>
      <c r="F275" s="20"/>
      <c r="G275" s="29"/>
      <c r="H275" s="33"/>
      <c r="I275" s="29"/>
      <c r="J275" s="29" t="s">
        <v>75</v>
      </c>
      <c r="AA275" t="str">
        <f t="shared" si="4"/>
        <v>Corn</v>
      </c>
    </row>
    <row r="276" spans="1:27">
      <c r="A276" s="29" t="s">
        <v>25</v>
      </c>
      <c r="B276" s="29" t="s">
        <v>61</v>
      </c>
      <c r="C276" s="13" t="s">
        <v>185</v>
      </c>
      <c r="D276" s="29" t="s">
        <v>190</v>
      </c>
      <c r="E276" s="19">
        <v>400</v>
      </c>
      <c r="F276" s="20"/>
      <c r="G276" s="29"/>
      <c r="H276" s="33"/>
      <c r="I276" s="29"/>
      <c r="J276" s="29" t="s">
        <v>75</v>
      </c>
      <c r="AA276" t="str">
        <f t="shared" si="4"/>
        <v>Corn</v>
      </c>
    </row>
    <row r="277" ht="30" customHeight="1" spans="1:27">
      <c r="A277" s="29" t="s">
        <v>25</v>
      </c>
      <c r="B277" s="29" t="s">
        <v>61</v>
      </c>
      <c r="C277" s="13" t="s">
        <v>185</v>
      </c>
      <c r="D277" s="29" t="s">
        <v>102</v>
      </c>
      <c r="E277" s="19">
        <v>150</v>
      </c>
      <c r="F277" s="20"/>
      <c r="G277" s="29"/>
      <c r="H277" s="33"/>
      <c r="I277" s="29"/>
      <c r="J277" s="29" t="s">
        <v>75</v>
      </c>
      <c r="AA277" t="str">
        <f t="shared" si="4"/>
        <v>Corn</v>
      </c>
    </row>
    <row r="278" ht="30" customHeight="1" spans="1:27">
      <c r="A278" s="29" t="s">
        <v>25</v>
      </c>
      <c r="B278" s="29" t="s">
        <v>61</v>
      </c>
      <c r="C278" s="13" t="s">
        <v>185</v>
      </c>
      <c r="D278" s="29" t="s">
        <v>191</v>
      </c>
      <c r="E278" s="19"/>
      <c r="F278" s="20">
        <v>10000</v>
      </c>
      <c r="G278" s="29"/>
      <c r="H278" s="29"/>
      <c r="I278" s="33"/>
      <c r="J278" s="29" t="s">
        <v>75</v>
      </c>
      <c r="AA278" t="str">
        <f t="shared" si="4"/>
        <v>Corn</v>
      </c>
    </row>
    <row r="279" ht="30" customHeight="1" spans="1:27">
      <c r="A279" s="29" t="s">
        <v>25</v>
      </c>
      <c r="B279" s="29" t="s">
        <v>61</v>
      </c>
      <c r="C279" s="13" t="s">
        <v>185</v>
      </c>
      <c r="D279" s="29" t="s">
        <v>192</v>
      </c>
      <c r="E279" s="19">
        <v>11000</v>
      </c>
      <c r="F279" s="20"/>
      <c r="G279" s="29"/>
      <c r="H279" s="33"/>
      <c r="I279" s="29"/>
      <c r="J279" s="29" t="s">
        <v>96</v>
      </c>
      <c r="AA279" t="str">
        <f t="shared" si="4"/>
        <v>Corn</v>
      </c>
    </row>
    <row r="280" ht="30" customHeight="1" spans="1:27">
      <c r="A280" s="29" t="s">
        <v>25</v>
      </c>
      <c r="B280" s="29" t="s">
        <v>61</v>
      </c>
      <c r="C280" s="13" t="s">
        <v>185</v>
      </c>
      <c r="D280" s="29" t="s">
        <v>74</v>
      </c>
      <c r="E280" s="19"/>
      <c r="F280" s="20"/>
      <c r="G280" s="29"/>
      <c r="H280" s="33"/>
      <c r="I280" s="29"/>
      <c r="J280" s="29" t="s">
        <v>75</v>
      </c>
      <c r="AA280" t="str">
        <f t="shared" si="4"/>
        <v>Corn</v>
      </c>
    </row>
    <row r="281" ht="30" customHeight="1" spans="1:27">
      <c r="A281" s="29" t="s">
        <v>25</v>
      </c>
      <c r="B281" s="29" t="s">
        <v>61</v>
      </c>
      <c r="C281" s="13" t="s">
        <v>193</v>
      </c>
      <c r="D281" s="30" t="s">
        <v>194</v>
      </c>
      <c r="E281" s="19"/>
      <c r="F281" s="20">
        <v>15000</v>
      </c>
      <c r="G281" s="29"/>
      <c r="H281" s="29"/>
      <c r="I281" s="29"/>
      <c r="J281" s="29" t="s">
        <v>29</v>
      </c>
      <c r="AA281" t="str">
        <f t="shared" si="4"/>
        <v>Farm-to-Market Road</v>
      </c>
    </row>
    <row r="282" ht="30" spans="1:27">
      <c r="A282" s="29" t="s">
        <v>25</v>
      </c>
      <c r="B282" s="29" t="s">
        <v>61</v>
      </c>
      <c r="C282" s="13" t="s">
        <v>193</v>
      </c>
      <c r="D282" s="29" t="s">
        <v>63</v>
      </c>
      <c r="E282" s="23">
        <v>7866.3476</v>
      </c>
      <c r="F282" s="24">
        <v>968.1659</v>
      </c>
      <c r="G282" s="29"/>
      <c r="H282" s="33"/>
      <c r="I282" s="33"/>
      <c r="J282" s="29" t="s">
        <v>64</v>
      </c>
      <c r="AA282" t="str">
        <f t="shared" si="4"/>
        <v>Rice</v>
      </c>
    </row>
    <row r="283" ht="30" customHeight="1" spans="1:27">
      <c r="A283" s="29" t="s">
        <v>25</v>
      </c>
      <c r="B283" s="29" t="s">
        <v>61</v>
      </c>
      <c r="C283" s="13" t="s">
        <v>193</v>
      </c>
      <c r="D283" s="29" t="s">
        <v>70</v>
      </c>
      <c r="E283" s="23">
        <v>35398.5641</v>
      </c>
      <c r="F283" s="20"/>
      <c r="G283" s="29"/>
      <c r="H283" s="33"/>
      <c r="I283" s="29"/>
      <c r="J283" s="29" t="s">
        <v>64</v>
      </c>
      <c r="AA283" t="str">
        <f t="shared" si="4"/>
        <v>Rice</v>
      </c>
    </row>
    <row r="284" ht="30" customHeight="1" spans="1:27">
      <c r="A284" s="29" t="s">
        <v>25</v>
      </c>
      <c r="B284" s="29" t="s">
        <v>61</v>
      </c>
      <c r="C284" s="13" t="s">
        <v>193</v>
      </c>
      <c r="D284" s="29" t="s">
        <v>71</v>
      </c>
      <c r="E284" s="23">
        <v>2341.3155</v>
      </c>
      <c r="F284" s="20"/>
      <c r="G284" s="29"/>
      <c r="H284" s="33"/>
      <c r="I284" s="29"/>
      <c r="J284" s="29" t="s">
        <v>64</v>
      </c>
      <c r="AA284" t="str">
        <f t="shared" si="4"/>
        <v>Rice</v>
      </c>
    </row>
    <row r="285" spans="1:27">
      <c r="A285" s="29" t="s">
        <v>25</v>
      </c>
      <c r="B285" s="29" t="s">
        <v>61</v>
      </c>
      <c r="C285" s="13" t="s">
        <v>193</v>
      </c>
      <c r="D285" s="29" t="s">
        <v>195</v>
      </c>
      <c r="E285" s="19">
        <v>2180</v>
      </c>
      <c r="F285" s="20"/>
      <c r="G285" s="29"/>
      <c r="H285" s="33"/>
      <c r="I285" s="29"/>
      <c r="J285" s="29" t="s">
        <v>196</v>
      </c>
      <c r="AA285" t="str">
        <f t="shared" si="4"/>
        <v>Vegetables (NUPAP/Urban Agri)</v>
      </c>
    </row>
    <row r="286" ht="30" customHeight="1" spans="1:27">
      <c r="A286" s="29" t="s">
        <v>25</v>
      </c>
      <c r="B286" s="29" t="s">
        <v>61</v>
      </c>
      <c r="C286" s="13" t="s">
        <v>193</v>
      </c>
      <c r="D286" s="29" t="s">
        <v>197</v>
      </c>
      <c r="E286" s="19">
        <v>2000</v>
      </c>
      <c r="F286" s="20"/>
      <c r="G286" s="29"/>
      <c r="H286" s="33"/>
      <c r="I286" s="29"/>
      <c r="J286" s="29" t="s">
        <v>35</v>
      </c>
      <c r="AA286" t="str">
        <f t="shared" si="4"/>
        <v>High Value Crops (Vegetables/Fruits/Rootcrops)</v>
      </c>
    </row>
    <row r="287" ht="30" customHeight="1" spans="1:27">
      <c r="A287" s="29" t="s">
        <v>25</v>
      </c>
      <c r="B287" s="29" t="s">
        <v>61</v>
      </c>
      <c r="C287" s="13" t="s">
        <v>193</v>
      </c>
      <c r="D287" s="29" t="s">
        <v>198</v>
      </c>
      <c r="E287" s="19">
        <v>2180</v>
      </c>
      <c r="F287" s="20"/>
      <c r="G287" s="29"/>
      <c r="H287" s="33"/>
      <c r="I287" s="29"/>
      <c r="J287" s="29" t="s">
        <v>196</v>
      </c>
      <c r="AA287" t="str">
        <f t="shared" si="4"/>
        <v>Vegetables (NUPAP/Urban Agri)</v>
      </c>
    </row>
    <row r="288" ht="30" spans="1:27">
      <c r="A288" s="29" t="s">
        <v>25</v>
      </c>
      <c r="B288" s="29" t="s">
        <v>61</v>
      </c>
      <c r="C288" s="13" t="s">
        <v>193</v>
      </c>
      <c r="D288" s="29" t="s">
        <v>74</v>
      </c>
      <c r="E288" s="19"/>
      <c r="F288" s="20"/>
      <c r="G288" s="29"/>
      <c r="H288" s="33"/>
      <c r="I288" s="29"/>
      <c r="J288" s="29" t="s">
        <v>75</v>
      </c>
      <c r="AA288" t="str">
        <f t="shared" si="4"/>
        <v>Corn</v>
      </c>
    </row>
    <row r="289" spans="1:27">
      <c r="A289" s="29" t="s">
        <v>25</v>
      </c>
      <c r="B289" s="29" t="s">
        <v>61</v>
      </c>
      <c r="C289" s="13" t="s">
        <v>199</v>
      </c>
      <c r="D289" s="30" t="s">
        <v>200</v>
      </c>
      <c r="E289" s="19">
        <v>30000</v>
      </c>
      <c r="F289" s="20"/>
      <c r="G289" s="29"/>
      <c r="H289" s="29"/>
      <c r="I289" s="29"/>
      <c r="J289" s="29" t="s">
        <v>29</v>
      </c>
      <c r="AA289" t="str">
        <f t="shared" si="4"/>
        <v>Farm-to-Market Road</v>
      </c>
    </row>
    <row r="290" ht="30" spans="1:27">
      <c r="A290" s="29" t="s">
        <v>25</v>
      </c>
      <c r="B290" s="29" t="s">
        <v>61</v>
      </c>
      <c r="C290" s="13" t="s">
        <v>199</v>
      </c>
      <c r="D290" s="29" t="s">
        <v>201</v>
      </c>
      <c r="E290" s="19">
        <v>3750</v>
      </c>
      <c r="F290" s="20"/>
      <c r="G290" s="29"/>
      <c r="H290" s="33"/>
      <c r="I290" s="29"/>
      <c r="J290" s="29" t="s">
        <v>134</v>
      </c>
      <c r="AA290" t="str">
        <f t="shared" si="4"/>
        <v>High Value Export Crops (Dragon Fruit/Ube/Okra/Banana)</v>
      </c>
    </row>
    <row r="291" ht="30" spans="1:27">
      <c r="A291" s="29" t="s">
        <v>25</v>
      </c>
      <c r="B291" s="29" t="s">
        <v>61</v>
      </c>
      <c r="C291" s="13" t="s">
        <v>199</v>
      </c>
      <c r="D291" s="29" t="s">
        <v>115</v>
      </c>
      <c r="E291" s="23">
        <v>3905.2577</v>
      </c>
      <c r="F291" s="24">
        <v>480.6471</v>
      </c>
      <c r="G291" s="29"/>
      <c r="H291" s="33"/>
      <c r="I291" s="33"/>
      <c r="J291" s="29" t="s">
        <v>64</v>
      </c>
      <c r="AA291" t="str">
        <f t="shared" si="4"/>
        <v>Rice</v>
      </c>
    </row>
    <row r="292" ht="30" spans="1:27">
      <c r="A292" s="29" t="s">
        <v>25</v>
      </c>
      <c r="B292" s="29" t="s">
        <v>61</v>
      </c>
      <c r="C292" s="13" t="s">
        <v>199</v>
      </c>
      <c r="D292" s="29" t="s">
        <v>116</v>
      </c>
      <c r="E292" s="19">
        <v>3200</v>
      </c>
      <c r="F292" s="20"/>
      <c r="G292" s="29"/>
      <c r="H292" s="33"/>
      <c r="I292" s="29"/>
      <c r="J292" s="29" t="s">
        <v>96</v>
      </c>
      <c r="AA292" t="str">
        <f t="shared" si="4"/>
        <v>Corn</v>
      </c>
    </row>
    <row r="293" spans="1:27">
      <c r="A293" s="29" t="s">
        <v>25</v>
      </c>
      <c r="B293" s="29" t="s">
        <v>61</v>
      </c>
      <c r="C293" s="13" t="s">
        <v>199</v>
      </c>
      <c r="D293" s="29" t="s">
        <v>202</v>
      </c>
      <c r="E293" s="19">
        <v>160</v>
      </c>
      <c r="F293" s="20"/>
      <c r="G293" s="29"/>
      <c r="H293" s="33"/>
      <c r="I293" s="29"/>
      <c r="J293" s="29" t="s">
        <v>35</v>
      </c>
      <c r="AA293" t="str">
        <f t="shared" si="4"/>
        <v>High Value Crops (Vegetables/Fruits/Rootcrops)</v>
      </c>
    </row>
    <row r="294" ht="30" spans="1:27">
      <c r="A294" s="29" t="s">
        <v>25</v>
      </c>
      <c r="B294" s="29" t="s">
        <v>61</v>
      </c>
      <c r="C294" s="13" t="s">
        <v>199</v>
      </c>
      <c r="D294" s="29" t="s">
        <v>70</v>
      </c>
      <c r="E294" s="23">
        <v>17573.6595</v>
      </c>
      <c r="F294" s="20"/>
      <c r="G294" s="29"/>
      <c r="H294" s="33"/>
      <c r="I294" s="29"/>
      <c r="J294" s="29" t="s">
        <v>64</v>
      </c>
      <c r="AA294" t="str">
        <f t="shared" si="4"/>
        <v>Rice</v>
      </c>
    </row>
    <row r="295" ht="30" customHeight="1" spans="1:27">
      <c r="A295" s="29" t="s">
        <v>25</v>
      </c>
      <c r="B295" s="29" t="s">
        <v>61</v>
      </c>
      <c r="C295" s="13" t="s">
        <v>199</v>
      </c>
      <c r="D295" s="29" t="s">
        <v>71</v>
      </c>
      <c r="E295" s="23">
        <v>1162.3489</v>
      </c>
      <c r="F295" s="20"/>
      <c r="G295" s="29"/>
      <c r="H295" s="33"/>
      <c r="I295" s="29"/>
      <c r="J295" s="29" t="s">
        <v>64</v>
      </c>
      <c r="AA295" t="str">
        <f t="shared" si="4"/>
        <v>Rice</v>
      </c>
    </row>
    <row r="296" ht="30" customHeight="1" spans="1:27">
      <c r="A296" s="29" t="s">
        <v>25</v>
      </c>
      <c r="B296" s="29" t="s">
        <v>61</v>
      </c>
      <c r="C296" s="13" t="s">
        <v>199</v>
      </c>
      <c r="D296" s="29" t="s">
        <v>197</v>
      </c>
      <c r="E296" s="19">
        <v>2000</v>
      </c>
      <c r="F296" s="20"/>
      <c r="G296" s="29"/>
      <c r="H296" s="33"/>
      <c r="I296" s="29"/>
      <c r="J296" s="29" t="s">
        <v>35</v>
      </c>
      <c r="AA296" t="str">
        <f t="shared" si="4"/>
        <v>High Value Crops (Vegetables/Fruits/Rootcrops)</v>
      </c>
    </row>
    <row r="297" ht="30" customHeight="1" spans="1:27">
      <c r="A297" s="29" t="s">
        <v>25</v>
      </c>
      <c r="B297" s="29" t="s">
        <v>61</v>
      </c>
      <c r="C297" s="13" t="s">
        <v>199</v>
      </c>
      <c r="D297" s="29" t="s">
        <v>98</v>
      </c>
      <c r="E297" s="19">
        <v>90</v>
      </c>
      <c r="F297" s="20"/>
      <c r="G297" s="29"/>
      <c r="H297" s="33"/>
      <c r="I297" s="29"/>
      <c r="J297" s="29" t="s">
        <v>35</v>
      </c>
      <c r="AA297" t="str">
        <f t="shared" si="4"/>
        <v>High Value Crops (Vegetables/Fruits/Rootcrops)</v>
      </c>
    </row>
    <row r="298" ht="30" customHeight="1" spans="1:27">
      <c r="A298" s="29" t="s">
        <v>25</v>
      </c>
      <c r="B298" s="29" t="s">
        <v>61</v>
      </c>
      <c r="C298" s="13" t="s">
        <v>199</v>
      </c>
      <c r="D298" s="29" t="s">
        <v>36</v>
      </c>
      <c r="E298" s="19">
        <v>1125</v>
      </c>
      <c r="F298" s="20"/>
      <c r="G298" s="29"/>
      <c r="H298" s="33"/>
      <c r="I298" s="29"/>
      <c r="J298" s="29" t="s">
        <v>35</v>
      </c>
      <c r="AA298" t="str">
        <f t="shared" si="4"/>
        <v>High Value Crops (Vegetables/Fruits/Rootcrops)</v>
      </c>
    </row>
    <row r="299" ht="30" customHeight="1" spans="1:27">
      <c r="A299" s="29" t="s">
        <v>25</v>
      </c>
      <c r="B299" s="29" t="s">
        <v>61</v>
      </c>
      <c r="C299" s="13" t="s">
        <v>203</v>
      </c>
      <c r="D299" s="29" t="s">
        <v>77</v>
      </c>
      <c r="E299" s="19">
        <v>1800</v>
      </c>
      <c r="F299" s="20">
        <v>1800</v>
      </c>
      <c r="G299" s="29"/>
      <c r="H299" s="33"/>
      <c r="I299" s="33"/>
      <c r="J299" s="29" t="s">
        <v>75</v>
      </c>
      <c r="AA299" t="str">
        <f t="shared" si="4"/>
        <v>Corn</v>
      </c>
    </row>
    <row r="300" ht="30" customHeight="1" spans="1:27">
      <c r="A300" s="29" t="s">
        <v>25</v>
      </c>
      <c r="B300" s="29" t="s">
        <v>61</v>
      </c>
      <c r="C300" s="13" t="s">
        <v>203</v>
      </c>
      <c r="D300" s="29" t="s">
        <v>78</v>
      </c>
      <c r="E300" s="19">
        <v>360</v>
      </c>
      <c r="F300" s="20">
        <v>360</v>
      </c>
      <c r="G300" s="29"/>
      <c r="H300" s="33"/>
      <c r="I300" s="33"/>
      <c r="J300" s="29" t="s">
        <v>75</v>
      </c>
      <c r="AA300" t="str">
        <f t="shared" si="4"/>
        <v>Corn</v>
      </c>
    </row>
    <row r="301" ht="30" customHeight="1" spans="1:27">
      <c r="A301" s="29" t="s">
        <v>25</v>
      </c>
      <c r="B301" s="29" t="s">
        <v>61</v>
      </c>
      <c r="C301" s="13" t="s">
        <v>203</v>
      </c>
      <c r="D301" s="30" t="s">
        <v>204</v>
      </c>
      <c r="E301" s="19"/>
      <c r="F301" s="20">
        <v>15000</v>
      </c>
      <c r="G301" s="29"/>
      <c r="H301" s="29"/>
      <c r="I301" s="29"/>
      <c r="J301" s="29" t="s">
        <v>29</v>
      </c>
      <c r="AA301" t="str">
        <f t="shared" si="4"/>
        <v>Farm-to-Market Road</v>
      </c>
    </row>
    <row r="302" ht="30" customHeight="1" spans="1:27">
      <c r="A302" s="29" t="s">
        <v>25</v>
      </c>
      <c r="B302" s="29" t="s">
        <v>61</v>
      </c>
      <c r="C302" s="13" t="s">
        <v>203</v>
      </c>
      <c r="D302" s="29" t="s">
        <v>115</v>
      </c>
      <c r="E302" s="23">
        <v>4752.1894</v>
      </c>
      <c r="F302" s="24">
        <v>584.8848</v>
      </c>
      <c r="G302" s="29"/>
      <c r="H302" s="33"/>
      <c r="I302" s="33"/>
      <c r="J302" s="29" t="s">
        <v>64</v>
      </c>
      <c r="AA302" t="str">
        <f t="shared" si="4"/>
        <v>Rice</v>
      </c>
    </row>
    <row r="303" ht="30" customHeight="1" spans="1:27">
      <c r="A303" s="29" t="s">
        <v>25</v>
      </c>
      <c r="B303" s="29" t="s">
        <v>61</v>
      </c>
      <c r="C303" s="13" t="s">
        <v>203</v>
      </c>
      <c r="D303" s="29" t="s">
        <v>70</v>
      </c>
      <c r="E303" s="23">
        <v>21384.8522</v>
      </c>
      <c r="F303" s="20"/>
      <c r="G303" s="29"/>
      <c r="H303" s="33"/>
      <c r="I303" s="29"/>
      <c r="J303" s="29" t="s">
        <v>64</v>
      </c>
      <c r="AA303" t="str">
        <f t="shared" si="4"/>
        <v>Rice</v>
      </c>
    </row>
    <row r="304" ht="30" customHeight="1" spans="1:27">
      <c r="A304" s="29" t="s">
        <v>25</v>
      </c>
      <c r="B304" s="29" t="s">
        <v>61</v>
      </c>
      <c r="C304" s="13" t="s">
        <v>203</v>
      </c>
      <c r="D304" s="29" t="s">
        <v>118</v>
      </c>
      <c r="E304" s="19"/>
      <c r="F304" s="20"/>
      <c r="G304" s="29"/>
      <c r="H304" s="33"/>
      <c r="I304" s="33"/>
      <c r="J304" s="29" t="s">
        <v>75</v>
      </c>
      <c r="AA304" t="str">
        <f t="shared" si="4"/>
        <v>Corn</v>
      </c>
    </row>
    <row r="305" ht="30" customHeight="1" spans="1:27">
      <c r="A305" s="29" t="s">
        <v>25</v>
      </c>
      <c r="B305" s="29" t="s">
        <v>61</v>
      </c>
      <c r="C305" s="13" t="s">
        <v>203</v>
      </c>
      <c r="D305" s="29" t="s">
        <v>91</v>
      </c>
      <c r="E305" s="19"/>
      <c r="F305" s="20"/>
      <c r="G305" s="29"/>
      <c r="H305" s="33"/>
      <c r="I305" s="33"/>
      <c r="J305" s="29" t="s">
        <v>75</v>
      </c>
      <c r="AA305" t="str">
        <f t="shared" si="4"/>
        <v>Corn</v>
      </c>
    </row>
    <row r="306" ht="30" customHeight="1" spans="1:27">
      <c r="A306" s="29" t="s">
        <v>25</v>
      </c>
      <c r="B306" s="29" t="s">
        <v>61</v>
      </c>
      <c r="C306" s="13" t="s">
        <v>203</v>
      </c>
      <c r="D306" s="29" t="s">
        <v>71</v>
      </c>
      <c r="E306" s="23">
        <v>1414.427</v>
      </c>
      <c r="F306" s="20"/>
      <c r="G306" s="29"/>
      <c r="H306" s="33"/>
      <c r="I306" s="29"/>
      <c r="J306" s="29" t="s">
        <v>64</v>
      </c>
      <c r="AA306" t="str">
        <f t="shared" si="4"/>
        <v>Rice</v>
      </c>
    </row>
    <row r="307" ht="30" customHeight="1" spans="1:27">
      <c r="A307" s="29" t="s">
        <v>25</v>
      </c>
      <c r="B307" s="29" t="s">
        <v>61</v>
      </c>
      <c r="C307" s="13" t="s">
        <v>203</v>
      </c>
      <c r="D307" s="29" t="s">
        <v>121</v>
      </c>
      <c r="E307" s="19">
        <v>3750</v>
      </c>
      <c r="F307" s="20"/>
      <c r="G307" s="29"/>
      <c r="H307" s="33"/>
      <c r="I307" s="29"/>
      <c r="J307" s="29" t="s">
        <v>75</v>
      </c>
      <c r="AA307" t="str">
        <f t="shared" si="4"/>
        <v>Corn</v>
      </c>
    </row>
    <row r="308" ht="30" customHeight="1" spans="1:27">
      <c r="A308" s="29" t="s">
        <v>25</v>
      </c>
      <c r="B308" s="29" t="s">
        <v>61</v>
      </c>
      <c r="C308" s="13" t="s">
        <v>203</v>
      </c>
      <c r="D308" s="29" t="s">
        <v>98</v>
      </c>
      <c r="E308" s="19">
        <v>166.93785</v>
      </c>
      <c r="F308" s="20"/>
      <c r="G308" s="29"/>
      <c r="H308" s="33"/>
      <c r="I308" s="29"/>
      <c r="J308" s="29" t="s">
        <v>35</v>
      </c>
      <c r="AA308" t="str">
        <f t="shared" si="4"/>
        <v>High Value Crops (Vegetables/Fruits/Rootcrops)</v>
      </c>
    </row>
    <row r="309" ht="30" customHeight="1" spans="1:27">
      <c r="A309" s="29" t="s">
        <v>25</v>
      </c>
      <c r="B309" s="29" t="s">
        <v>61</v>
      </c>
      <c r="C309" s="13" t="s">
        <v>203</v>
      </c>
      <c r="D309" s="29" t="s">
        <v>122</v>
      </c>
      <c r="E309" s="19">
        <v>1250</v>
      </c>
      <c r="F309" s="20"/>
      <c r="G309" s="29"/>
      <c r="H309" s="33"/>
      <c r="I309" s="29"/>
      <c r="J309" s="29" t="s">
        <v>96</v>
      </c>
      <c r="AA309" t="str">
        <f t="shared" si="4"/>
        <v>Corn</v>
      </c>
    </row>
    <row r="310" ht="30" customHeight="1" spans="1:27">
      <c r="A310" s="29" t="s">
        <v>25</v>
      </c>
      <c r="B310" s="29" t="s">
        <v>61</v>
      </c>
      <c r="C310" s="13" t="s">
        <v>203</v>
      </c>
      <c r="D310" s="29" t="s">
        <v>36</v>
      </c>
      <c r="E310" s="19">
        <v>1500</v>
      </c>
      <c r="F310" s="20"/>
      <c r="G310" s="29"/>
      <c r="H310" s="33"/>
      <c r="I310" s="29"/>
      <c r="J310" s="29" t="s">
        <v>35</v>
      </c>
      <c r="AA310" t="str">
        <f t="shared" si="4"/>
        <v>High Value Crops (Vegetables/Fruits/Rootcrops)</v>
      </c>
    </row>
    <row r="311" ht="30" customHeight="1" spans="1:27">
      <c r="A311" s="29" t="s">
        <v>25</v>
      </c>
      <c r="B311" s="29" t="s">
        <v>61</v>
      </c>
      <c r="C311" s="13" t="s">
        <v>203</v>
      </c>
      <c r="D311" s="29" t="s">
        <v>205</v>
      </c>
      <c r="E311" s="19">
        <v>1200</v>
      </c>
      <c r="F311" s="20"/>
      <c r="G311" s="29"/>
      <c r="H311" s="33"/>
      <c r="I311" s="29"/>
      <c r="J311" s="29" t="s">
        <v>35</v>
      </c>
      <c r="AA311" t="str">
        <f t="shared" si="4"/>
        <v>High Value Crops (Vegetables/Fruits/Rootcrops)</v>
      </c>
    </row>
    <row r="312" ht="30" customHeight="1" spans="1:27">
      <c r="A312" s="29" t="s">
        <v>25</v>
      </c>
      <c r="B312" s="29" t="s">
        <v>61</v>
      </c>
      <c r="C312" s="13" t="s">
        <v>203</v>
      </c>
      <c r="D312" s="29" t="s">
        <v>74</v>
      </c>
      <c r="E312" s="19"/>
      <c r="F312" s="20"/>
      <c r="G312" s="29"/>
      <c r="H312" s="33"/>
      <c r="I312" s="29"/>
      <c r="J312" s="29" t="s">
        <v>75</v>
      </c>
      <c r="AA312" t="str">
        <f t="shared" si="4"/>
        <v>Corn</v>
      </c>
    </row>
    <row r="313" ht="30" customHeight="1" spans="1:27">
      <c r="A313" s="29" t="s">
        <v>25</v>
      </c>
      <c r="B313" s="29" t="s">
        <v>61</v>
      </c>
      <c r="C313" s="13" t="s">
        <v>206</v>
      </c>
      <c r="D313" s="30" t="s">
        <v>207</v>
      </c>
      <c r="E313" s="19">
        <v>17000</v>
      </c>
      <c r="F313" s="20"/>
      <c r="G313" s="29"/>
      <c r="H313" s="29"/>
      <c r="I313" s="29"/>
      <c r="J313" s="29" t="s">
        <v>29</v>
      </c>
      <c r="AA313" t="str">
        <f t="shared" si="4"/>
        <v>Farm-to-Market Road</v>
      </c>
    </row>
    <row r="314" ht="30" customHeight="1" spans="1:27">
      <c r="A314" s="29" t="s">
        <v>25</v>
      </c>
      <c r="B314" s="29" t="s">
        <v>61</v>
      </c>
      <c r="C314" s="13" t="s">
        <v>206</v>
      </c>
      <c r="D314" s="29" t="s">
        <v>144</v>
      </c>
      <c r="E314" s="19">
        <v>75</v>
      </c>
      <c r="F314" s="20"/>
      <c r="G314" s="29"/>
      <c r="H314" s="33"/>
      <c r="I314" s="29"/>
      <c r="J314" s="29" t="s">
        <v>33</v>
      </c>
      <c r="AA314" t="str">
        <f t="shared" si="4"/>
        <v>Various Commodities (SAAD)</v>
      </c>
    </row>
    <row r="315" ht="30" customHeight="1" spans="1:27">
      <c r="A315" s="29" t="s">
        <v>25</v>
      </c>
      <c r="B315" s="29" t="s">
        <v>61</v>
      </c>
      <c r="C315" s="13" t="s">
        <v>206</v>
      </c>
      <c r="D315" s="29" t="s">
        <v>115</v>
      </c>
      <c r="E315" s="23">
        <v>2585.6</v>
      </c>
      <c r="F315" s="24">
        <v>318.2277</v>
      </c>
      <c r="G315" s="29"/>
      <c r="H315" s="33"/>
      <c r="I315" s="33"/>
      <c r="J315" s="29" t="s">
        <v>64</v>
      </c>
      <c r="AA315" t="str">
        <f t="shared" si="4"/>
        <v>Rice</v>
      </c>
    </row>
    <row r="316" ht="30" customHeight="1" spans="1:27">
      <c r="A316" s="29" t="s">
        <v>25</v>
      </c>
      <c r="B316" s="29" t="s">
        <v>61</v>
      </c>
      <c r="C316" s="13" t="s">
        <v>206</v>
      </c>
      <c r="D316" s="29" t="s">
        <v>69</v>
      </c>
      <c r="E316" s="19">
        <v>2300</v>
      </c>
      <c r="F316" s="20"/>
      <c r="G316" s="29"/>
      <c r="H316" s="33"/>
      <c r="I316" s="29"/>
      <c r="J316" s="29" t="s">
        <v>67</v>
      </c>
      <c r="AA316" t="str">
        <f t="shared" si="4"/>
        <v>Rice</v>
      </c>
    </row>
    <row r="317" ht="30" customHeight="1" spans="1:27">
      <c r="A317" s="29" t="s">
        <v>25</v>
      </c>
      <c r="B317" s="29" t="s">
        <v>61</v>
      </c>
      <c r="C317" s="13" t="s">
        <v>206</v>
      </c>
      <c r="D317" s="29" t="s">
        <v>60</v>
      </c>
      <c r="E317" s="19">
        <v>700</v>
      </c>
      <c r="F317" s="20"/>
      <c r="G317" s="29"/>
      <c r="H317" s="33"/>
      <c r="I317" s="29"/>
      <c r="J317" s="29" t="s">
        <v>33</v>
      </c>
      <c r="AA317" t="str">
        <f t="shared" si="4"/>
        <v>Various Commodities (SAAD)</v>
      </c>
    </row>
    <row r="318" ht="30" customHeight="1" spans="1:27">
      <c r="A318" s="29" t="s">
        <v>25</v>
      </c>
      <c r="B318" s="29" t="s">
        <v>61</v>
      </c>
      <c r="C318" s="13" t="s">
        <v>206</v>
      </c>
      <c r="D318" s="29" t="s">
        <v>32</v>
      </c>
      <c r="E318" s="19">
        <v>12282</v>
      </c>
      <c r="F318" s="20"/>
      <c r="G318" s="29"/>
      <c r="H318" s="33"/>
      <c r="I318" s="29"/>
      <c r="J318" s="29" t="s">
        <v>33</v>
      </c>
      <c r="AA318" t="str">
        <f t="shared" si="4"/>
        <v>Various Commodities (SAAD)</v>
      </c>
    </row>
    <row r="319" ht="30" customHeight="1" spans="1:27">
      <c r="A319" s="29" t="s">
        <v>25</v>
      </c>
      <c r="B319" s="29" t="s">
        <v>61</v>
      </c>
      <c r="C319" s="13" t="s">
        <v>206</v>
      </c>
      <c r="D319" s="29" t="s">
        <v>70</v>
      </c>
      <c r="E319" s="23">
        <v>11635.2</v>
      </c>
      <c r="F319" s="20"/>
      <c r="G319" s="29"/>
      <c r="H319" s="33"/>
      <c r="I319" s="29"/>
      <c r="J319" s="29" t="s">
        <v>64</v>
      </c>
      <c r="AA319" t="str">
        <f t="shared" si="4"/>
        <v>Rice</v>
      </c>
    </row>
    <row r="320" ht="30" customHeight="1" spans="1:27">
      <c r="A320" s="29" t="s">
        <v>25</v>
      </c>
      <c r="B320" s="29" t="s">
        <v>61</v>
      </c>
      <c r="C320" s="13" t="s">
        <v>206</v>
      </c>
      <c r="D320" s="29" t="s">
        <v>71</v>
      </c>
      <c r="E320" s="23">
        <v>769.57</v>
      </c>
      <c r="F320" s="20"/>
      <c r="G320" s="29"/>
      <c r="H320" s="33"/>
      <c r="I320" s="29"/>
      <c r="J320" s="29" t="s">
        <v>64</v>
      </c>
      <c r="AA320" t="str">
        <f t="shared" si="4"/>
        <v>Rice</v>
      </c>
    </row>
    <row r="321" ht="30" customHeight="1" spans="1:27">
      <c r="A321" s="29" t="s">
        <v>25</v>
      </c>
      <c r="B321" s="29" t="s">
        <v>61</v>
      </c>
      <c r="C321" s="13" t="s">
        <v>206</v>
      </c>
      <c r="D321" s="29" t="s">
        <v>119</v>
      </c>
      <c r="E321" s="19">
        <v>200</v>
      </c>
      <c r="F321" s="20"/>
      <c r="G321" s="29"/>
      <c r="H321" s="33"/>
      <c r="I321" s="29"/>
      <c r="J321" s="29" t="s">
        <v>96</v>
      </c>
      <c r="AA321" t="str">
        <f t="shared" si="4"/>
        <v>Corn</v>
      </c>
    </row>
    <row r="322" ht="30" customHeight="1" spans="1:27">
      <c r="A322" s="29" t="s">
        <v>25</v>
      </c>
      <c r="B322" s="29" t="s">
        <v>61</v>
      </c>
      <c r="C322" s="13" t="s">
        <v>206</v>
      </c>
      <c r="D322" s="29" t="s">
        <v>120</v>
      </c>
      <c r="E322" s="19">
        <v>400</v>
      </c>
      <c r="F322" s="20"/>
      <c r="G322" s="29"/>
      <c r="H322" s="33"/>
      <c r="I322" s="29"/>
      <c r="J322" s="29" t="s">
        <v>75</v>
      </c>
      <c r="AA322" t="str">
        <f t="shared" si="4"/>
        <v>Corn</v>
      </c>
    </row>
    <row r="323" ht="30" customHeight="1" spans="1:27">
      <c r="A323" s="29" t="s">
        <v>25</v>
      </c>
      <c r="B323" s="29" t="s">
        <v>61</v>
      </c>
      <c r="C323" s="13" t="s">
        <v>206</v>
      </c>
      <c r="D323" s="29" t="s">
        <v>208</v>
      </c>
      <c r="E323" s="19">
        <v>375</v>
      </c>
      <c r="F323" s="20"/>
      <c r="G323" s="29"/>
      <c r="H323" s="33"/>
      <c r="I323" s="29"/>
      <c r="J323" s="29" t="s">
        <v>33</v>
      </c>
      <c r="AA323" t="str">
        <f t="shared" si="4"/>
        <v>Various Commodities (SAAD)</v>
      </c>
    </row>
    <row r="324" ht="30" customHeight="1" spans="1:27">
      <c r="A324" s="29" t="s">
        <v>25</v>
      </c>
      <c r="B324" s="29" t="s">
        <v>61</v>
      </c>
      <c r="C324" s="13" t="s">
        <v>206</v>
      </c>
      <c r="D324" s="29" t="s">
        <v>121</v>
      </c>
      <c r="E324" s="19">
        <v>3750</v>
      </c>
      <c r="F324" s="20"/>
      <c r="G324" s="29"/>
      <c r="H324" s="33"/>
      <c r="I324" s="29"/>
      <c r="J324" s="29" t="s">
        <v>75</v>
      </c>
      <c r="AA324" t="str">
        <f t="shared" si="4"/>
        <v>Corn</v>
      </c>
    </row>
    <row r="325" ht="30" customHeight="1" spans="1:27">
      <c r="A325" s="29" t="s">
        <v>25</v>
      </c>
      <c r="B325" s="29" t="s">
        <v>61</v>
      </c>
      <c r="C325" s="13" t="s">
        <v>206</v>
      </c>
      <c r="D325" s="29" t="s">
        <v>122</v>
      </c>
      <c r="E325" s="19">
        <v>1250</v>
      </c>
      <c r="F325" s="20"/>
      <c r="G325" s="29"/>
      <c r="H325" s="33"/>
      <c r="I325" s="29"/>
      <c r="J325" s="29" t="s">
        <v>96</v>
      </c>
      <c r="AA325" t="str">
        <f t="shared" si="4"/>
        <v>Corn</v>
      </c>
    </row>
    <row r="326" ht="30" customHeight="1" spans="1:27">
      <c r="A326" s="29" t="s">
        <v>25</v>
      </c>
      <c r="B326" s="29" t="s">
        <v>61</v>
      </c>
      <c r="C326" s="13" t="s">
        <v>206</v>
      </c>
      <c r="D326" s="29" t="s">
        <v>148</v>
      </c>
      <c r="E326" s="19">
        <v>340</v>
      </c>
      <c r="F326" s="20"/>
      <c r="G326" s="29"/>
      <c r="H326" s="33"/>
      <c r="I326" s="29"/>
      <c r="J326" s="29" t="s">
        <v>33</v>
      </c>
      <c r="AA326" t="str">
        <f t="shared" si="4"/>
        <v>Various Commodities (SAAD)</v>
      </c>
    </row>
    <row r="327" ht="30" customHeight="1" spans="1:27">
      <c r="A327" s="29" t="s">
        <v>25</v>
      </c>
      <c r="B327" s="29" t="s">
        <v>61</v>
      </c>
      <c r="C327" s="13" t="s">
        <v>206</v>
      </c>
      <c r="D327" s="29" t="s">
        <v>209</v>
      </c>
      <c r="E327" s="19">
        <v>300</v>
      </c>
      <c r="F327" s="20"/>
      <c r="G327" s="29"/>
      <c r="H327" s="33"/>
      <c r="I327" s="29"/>
      <c r="J327" s="29" t="s">
        <v>33</v>
      </c>
      <c r="AA327" t="str">
        <f t="shared" si="4"/>
        <v>Various Commodities (SAAD)</v>
      </c>
    </row>
    <row r="328" ht="30" customHeight="1" spans="1:27">
      <c r="A328" s="29" t="s">
        <v>25</v>
      </c>
      <c r="B328" s="29" t="s">
        <v>61</v>
      </c>
      <c r="C328" s="13" t="s">
        <v>206</v>
      </c>
      <c r="D328" s="29" t="s">
        <v>74</v>
      </c>
      <c r="E328" s="19"/>
      <c r="F328" s="20"/>
      <c r="G328" s="29"/>
      <c r="H328" s="33"/>
      <c r="I328" s="29"/>
      <c r="J328" s="29" t="s">
        <v>75</v>
      </c>
      <c r="AA328" t="str">
        <f t="shared" si="4"/>
        <v>Corn</v>
      </c>
    </row>
    <row r="329" ht="30" customHeight="1" spans="1:27">
      <c r="A329" s="29" t="s">
        <v>25</v>
      </c>
      <c r="B329" s="29" t="s">
        <v>61</v>
      </c>
      <c r="C329" s="13" t="s">
        <v>210</v>
      </c>
      <c r="D329" s="30" t="s">
        <v>211</v>
      </c>
      <c r="E329" s="19"/>
      <c r="F329" s="20">
        <v>27750</v>
      </c>
      <c r="G329" s="29"/>
      <c r="H329" s="29"/>
      <c r="I329" s="29"/>
      <c r="J329" s="29" t="s">
        <v>29</v>
      </c>
      <c r="AA329" t="str">
        <f t="shared" si="4"/>
        <v>Farm-to-Market Road</v>
      </c>
    </row>
    <row r="330" ht="30" customHeight="1" spans="1:27">
      <c r="A330" s="29" t="s">
        <v>25</v>
      </c>
      <c r="B330" s="29" t="s">
        <v>61</v>
      </c>
      <c r="C330" s="13" t="s">
        <v>210</v>
      </c>
      <c r="D330" s="29" t="s">
        <v>66</v>
      </c>
      <c r="E330" s="19">
        <v>1500</v>
      </c>
      <c r="F330" s="20"/>
      <c r="G330" s="29"/>
      <c r="H330" s="33"/>
      <c r="I330" s="29"/>
      <c r="J330" s="29" t="s">
        <v>67</v>
      </c>
      <c r="AA330" t="str">
        <f t="shared" ref="AA330:AA393" si="5">_xlfn.IFS(J330="DA-FMRDP","Farm-to-Market Road",J330="DA-RFO2 RICE","Rice",J330="DA-RFO2 Rice Program","Rice",J330="DA-RFO2 CORN","Corn",J330="DA-RFO2 Corn Program","Corn",J330="DA-RFO2 HVCDP","High Value Crops (Vegetables/Fruits/Rootcrops)",J330="DA-RFO2 HVCDP Export","High Value Export Crops (Dragon Fruit/Ube/Okra/Banana)",J330="DA-RFO2 HVCDP Coffee","Coffee (HVCDP)",J330="DA-RFO2 LIVESTOCK","Livestock (Cattle/Carabao/Swine/Poultry)",J330="DA-RFO2 SAAD","Various Commodities (SAAD)",J330="DA-RFO2 4K","Various Commodities (4Ks)",J330="DA-RFO2 4KS","Various Commodities (4Ks)",J330="DA-RFO2 HALAL","Halal Food Products",J330="DA-RFO2 OAP","Organic Agriculture",J330="DA-RFO2 NUPAP","Vegetables (NUPAP/Urban Agri)",TRUE,IF(ISNUMBER(SEARCH("FMR",D330)),"Farm-to-Market Road",IF(ISNUMBER(SEARCH("RICE",D330)),"Rice",IF(ISNUMBER(SEARCH("CORN",D330)),"Corn",IF(ISNUMBER(SEARCH("HVCDP COFFEE",D330)),"Coffee (HVCDP)",IF(ISNUMBER(SEARCH("HVCDP EXPORT",D330)),"High Value Export Crops (Dragon Fruit/Ube/Okra/Banana)",IF(ISNUMBER(SEARCH("HVCDP",D330)),"High Value Crops (Vegetables/Fruits/Rootcrops)",IF(ISNUMBER(SEARCH("LIVESTOCK",D330)),"Livestock (Cattle/Carabao/Swine/Poultry)",IF(ISNUMBER(SEARCH("SAAD",D330)),"Various Commodities (SAAD)",IF(ISNUMBER(SEARCH("4KS",D330)),"Various Commodities (4Ks)",IF(ISNUMBER(SEARCH("4K",D330)),"Various Commodities (4Ks)",IF(ISNUMBER(SEARCH("HALAL",D330)),"Halal Food Products",IF(ISNUMBER(SEARCH("OAP",D330)),"Organic Agriculture",IF(ISNUMBER(SEARCH("NUPAP",D330)),"Vegetables (NUPAP/Urban Agri)",""))))))))))))))</f>
        <v>Rice</v>
      </c>
    </row>
    <row r="331" ht="30" customHeight="1" spans="1:27">
      <c r="A331" s="29" t="s">
        <v>25</v>
      </c>
      <c r="B331" s="29" t="s">
        <v>61</v>
      </c>
      <c r="C331" s="13" t="s">
        <v>210</v>
      </c>
      <c r="D331" s="29" t="s">
        <v>171</v>
      </c>
      <c r="E331" s="19">
        <v>30.4</v>
      </c>
      <c r="F331" s="20"/>
      <c r="G331" s="29"/>
      <c r="H331" s="33"/>
      <c r="I331" s="29"/>
      <c r="J331" s="29" t="s">
        <v>166</v>
      </c>
      <c r="AA331" t="str">
        <f t="shared" si="5"/>
        <v>Various Commodities (4Ks)</v>
      </c>
    </row>
    <row r="332" ht="30" customHeight="1" spans="1:27">
      <c r="A332" s="29" t="s">
        <v>25</v>
      </c>
      <c r="B332" s="29" t="s">
        <v>61</v>
      </c>
      <c r="C332" s="13" t="s">
        <v>210</v>
      </c>
      <c r="D332" s="29" t="s">
        <v>172</v>
      </c>
      <c r="E332" s="19">
        <v>25</v>
      </c>
      <c r="F332" s="20"/>
      <c r="G332" s="29"/>
      <c r="H332" s="33"/>
      <c r="I332" s="29"/>
      <c r="J332" s="29" t="s">
        <v>166</v>
      </c>
      <c r="AA332" t="str">
        <f t="shared" si="5"/>
        <v>Various Commodities (4Ks)</v>
      </c>
    </row>
    <row r="333" ht="30" customHeight="1" spans="1:27">
      <c r="A333" s="29" t="s">
        <v>25</v>
      </c>
      <c r="B333" s="29" t="s">
        <v>61</v>
      </c>
      <c r="C333" s="13" t="s">
        <v>210</v>
      </c>
      <c r="D333" s="29" t="s">
        <v>174</v>
      </c>
      <c r="E333" s="19">
        <v>10</v>
      </c>
      <c r="F333" s="20"/>
      <c r="G333" s="29"/>
      <c r="H333" s="33"/>
      <c r="I333" s="29"/>
      <c r="J333" s="29" t="s">
        <v>166</v>
      </c>
      <c r="AA333" t="str">
        <f t="shared" si="5"/>
        <v>Various Commodities (4Ks)</v>
      </c>
    </row>
    <row r="334" ht="30" customHeight="1" spans="1:27">
      <c r="A334" s="29" t="s">
        <v>25</v>
      </c>
      <c r="B334" s="29" t="s">
        <v>61</v>
      </c>
      <c r="C334" s="13" t="s">
        <v>210</v>
      </c>
      <c r="D334" s="29" t="s">
        <v>212</v>
      </c>
      <c r="E334" s="19">
        <v>74.168</v>
      </c>
      <c r="F334" s="20"/>
      <c r="G334" s="29"/>
      <c r="H334" s="33"/>
      <c r="I334" s="29"/>
      <c r="J334" s="29" t="s">
        <v>166</v>
      </c>
      <c r="AA334" t="str">
        <f t="shared" si="5"/>
        <v>Various Commodities (4Ks)</v>
      </c>
    </row>
    <row r="335" ht="30" customHeight="1" spans="1:27">
      <c r="A335" s="29" t="s">
        <v>25</v>
      </c>
      <c r="B335" s="29" t="s">
        <v>61</v>
      </c>
      <c r="C335" s="13" t="s">
        <v>210</v>
      </c>
      <c r="D335" s="29" t="s">
        <v>213</v>
      </c>
      <c r="E335" s="19">
        <v>20</v>
      </c>
      <c r="F335" s="20"/>
      <c r="G335" s="29"/>
      <c r="H335" s="33"/>
      <c r="I335" s="29"/>
      <c r="J335" s="29" t="s">
        <v>166</v>
      </c>
      <c r="AA335" t="str">
        <f t="shared" si="5"/>
        <v>Various Commodities (4Ks)</v>
      </c>
    </row>
    <row r="336" ht="30" customHeight="1" spans="1:27">
      <c r="A336" s="29" t="s">
        <v>25</v>
      </c>
      <c r="B336" s="29" t="s">
        <v>61</v>
      </c>
      <c r="C336" s="13" t="s">
        <v>210</v>
      </c>
      <c r="D336" s="29" t="s">
        <v>73</v>
      </c>
      <c r="E336" s="19">
        <v>19200</v>
      </c>
      <c r="F336" s="20"/>
      <c r="G336" s="29"/>
      <c r="H336" s="33"/>
      <c r="I336" s="29"/>
      <c r="J336" s="29" t="s">
        <v>64</v>
      </c>
      <c r="AA336" t="str">
        <f t="shared" si="5"/>
        <v>Rice</v>
      </c>
    </row>
    <row r="337" ht="30" customHeight="1" spans="1:27">
      <c r="A337" s="29" t="s">
        <v>25</v>
      </c>
      <c r="B337" s="29" t="s">
        <v>61</v>
      </c>
      <c r="C337" s="13" t="s">
        <v>210</v>
      </c>
      <c r="D337" s="29" t="s">
        <v>180</v>
      </c>
      <c r="E337" s="19">
        <v>600</v>
      </c>
      <c r="F337" s="20"/>
      <c r="G337" s="29"/>
      <c r="H337" s="33"/>
      <c r="I337" s="29"/>
      <c r="J337" s="29" t="s">
        <v>166</v>
      </c>
      <c r="AA337" t="str">
        <f t="shared" si="5"/>
        <v>Various Commodities (4Ks)</v>
      </c>
    </row>
    <row r="338" ht="30" customHeight="1" spans="1:27">
      <c r="A338" s="29" t="s">
        <v>25</v>
      </c>
      <c r="B338" s="29" t="s">
        <v>61</v>
      </c>
      <c r="C338" s="13" t="s">
        <v>210</v>
      </c>
      <c r="D338" s="29" t="s">
        <v>181</v>
      </c>
      <c r="E338" s="19">
        <v>44.94</v>
      </c>
      <c r="F338" s="20"/>
      <c r="G338" s="29"/>
      <c r="H338" s="33"/>
      <c r="I338" s="29"/>
      <c r="J338" s="29" t="s">
        <v>166</v>
      </c>
      <c r="AA338" t="str">
        <f t="shared" si="5"/>
        <v>Various Commodities (4Ks)</v>
      </c>
    </row>
    <row r="339" ht="30" customHeight="1" spans="1:27">
      <c r="A339" s="29" t="s">
        <v>25</v>
      </c>
      <c r="B339" s="29" t="s">
        <v>61</v>
      </c>
      <c r="C339" s="13" t="s">
        <v>214</v>
      </c>
      <c r="D339" s="30" t="s">
        <v>215</v>
      </c>
      <c r="E339" s="19"/>
      <c r="F339" s="20">
        <v>15000</v>
      </c>
      <c r="G339" s="29"/>
      <c r="H339" s="29"/>
      <c r="I339" s="29"/>
      <c r="J339" s="29" t="s">
        <v>29</v>
      </c>
      <c r="AA339" t="str">
        <f t="shared" si="5"/>
        <v>Farm-to-Market Road</v>
      </c>
    </row>
    <row r="340" ht="30" customHeight="1" spans="1:27">
      <c r="A340" s="29" t="s">
        <v>25</v>
      </c>
      <c r="B340" s="29" t="s">
        <v>61</v>
      </c>
      <c r="C340" s="13" t="s">
        <v>214</v>
      </c>
      <c r="D340" s="30" t="s">
        <v>216</v>
      </c>
      <c r="E340" s="19"/>
      <c r="F340" s="20">
        <v>57600</v>
      </c>
      <c r="G340" s="29"/>
      <c r="H340" s="29"/>
      <c r="I340" s="29"/>
      <c r="J340" s="29" t="s">
        <v>29</v>
      </c>
      <c r="AA340" t="str">
        <f t="shared" si="5"/>
        <v>Farm-to-Market Road</v>
      </c>
    </row>
    <row r="341" ht="30" customHeight="1" spans="1:27">
      <c r="A341" s="29" t="s">
        <v>25</v>
      </c>
      <c r="B341" s="29" t="s">
        <v>61</v>
      </c>
      <c r="C341" s="13" t="s">
        <v>214</v>
      </c>
      <c r="D341" s="30" t="s">
        <v>217</v>
      </c>
      <c r="E341" s="19"/>
      <c r="F341" s="20">
        <v>15000</v>
      </c>
      <c r="G341" s="29"/>
      <c r="H341" s="29"/>
      <c r="I341" s="29"/>
      <c r="J341" s="29" t="s">
        <v>29</v>
      </c>
      <c r="AA341" t="str">
        <f t="shared" si="5"/>
        <v>Farm-to-Market Road</v>
      </c>
    </row>
    <row r="342" ht="30" customHeight="1" spans="1:27">
      <c r="A342" s="29" t="s">
        <v>25</v>
      </c>
      <c r="B342" s="29" t="s">
        <v>61</v>
      </c>
      <c r="C342" s="13" t="s">
        <v>214</v>
      </c>
      <c r="D342" s="30" t="s">
        <v>218</v>
      </c>
      <c r="E342" s="19">
        <v>52500</v>
      </c>
      <c r="F342" s="20"/>
      <c r="G342" s="29"/>
      <c r="H342" s="29"/>
      <c r="I342" s="29"/>
      <c r="J342" s="29" t="s">
        <v>29</v>
      </c>
      <c r="AA342" t="str">
        <f t="shared" si="5"/>
        <v>Farm-to-Market Road</v>
      </c>
    </row>
    <row r="343" ht="30" customHeight="1" spans="1:27">
      <c r="A343" s="29" t="s">
        <v>25</v>
      </c>
      <c r="B343" s="29" t="s">
        <v>61</v>
      </c>
      <c r="C343" s="13" t="s">
        <v>214</v>
      </c>
      <c r="D343" s="29" t="s">
        <v>70</v>
      </c>
      <c r="E343" s="23">
        <v>47842.6686</v>
      </c>
      <c r="F343" s="20"/>
      <c r="G343" s="29"/>
      <c r="H343" s="33"/>
      <c r="I343" s="29"/>
      <c r="J343" s="29" t="s">
        <v>64</v>
      </c>
      <c r="AA343" t="str">
        <f t="shared" si="5"/>
        <v>Rice</v>
      </c>
    </row>
    <row r="344" ht="30" customHeight="1" spans="1:27">
      <c r="A344" s="29" t="s">
        <v>25</v>
      </c>
      <c r="B344" s="29" t="s">
        <v>61</v>
      </c>
      <c r="C344" s="13" t="s">
        <v>214</v>
      </c>
      <c r="D344" s="29" t="s">
        <v>71</v>
      </c>
      <c r="E344" s="23">
        <v>3164.3877</v>
      </c>
      <c r="F344" s="20"/>
      <c r="G344" s="29"/>
      <c r="H344" s="33"/>
      <c r="I344" s="29"/>
      <c r="J344" s="29" t="s">
        <v>64</v>
      </c>
      <c r="AA344" t="str">
        <f t="shared" si="5"/>
        <v>Rice</v>
      </c>
    </row>
    <row r="345" ht="30" customHeight="1" spans="1:27">
      <c r="A345" s="29" t="s">
        <v>25</v>
      </c>
      <c r="B345" s="29" t="s">
        <v>61</v>
      </c>
      <c r="C345" s="13" t="s">
        <v>219</v>
      </c>
      <c r="D345" s="29" t="s">
        <v>144</v>
      </c>
      <c r="E345" s="19">
        <v>75</v>
      </c>
      <c r="F345" s="20"/>
      <c r="G345" s="29"/>
      <c r="H345" s="33"/>
      <c r="I345" s="29"/>
      <c r="J345" s="29" t="s">
        <v>33</v>
      </c>
      <c r="AA345" t="str">
        <f t="shared" si="5"/>
        <v>Various Commodities (SAAD)</v>
      </c>
    </row>
    <row r="346" ht="30" customHeight="1" spans="1:27">
      <c r="A346" s="29" t="s">
        <v>25</v>
      </c>
      <c r="B346" s="29" t="s">
        <v>61</v>
      </c>
      <c r="C346" s="13" t="s">
        <v>219</v>
      </c>
      <c r="D346" s="29" t="s">
        <v>63</v>
      </c>
      <c r="E346" s="23">
        <v>1073.6733</v>
      </c>
      <c r="F346" s="24">
        <v>132.1444</v>
      </c>
      <c r="G346" s="29"/>
      <c r="H346" s="33"/>
      <c r="I346" s="33"/>
      <c r="J346" s="29" t="s">
        <v>64</v>
      </c>
      <c r="AA346" t="str">
        <f t="shared" si="5"/>
        <v>Rice</v>
      </c>
    </row>
    <row r="347" ht="30" customHeight="1" spans="1:27">
      <c r="A347" s="29" t="s">
        <v>25</v>
      </c>
      <c r="B347" s="29" t="s">
        <v>61</v>
      </c>
      <c r="C347" s="13" t="s">
        <v>219</v>
      </c>
      <c r="D347" s="29" t="s">
        <v>32</v>
      </c>
      <c r="E347" s="19">
        <v>12282</v>
      </c>
      <c r="F347" s="20"/>
      <c r="G347" s="29"/>
      <c r="H347" s="33"/>
      <c r="I347" s="29"/>
      <c r="J347" s="29" t="s">
        <v>33</v>
      </c>
      <c r="AA347" t="str">
        <f t="shared" si="5"/>
        <v>Various Commodities (SAAD)</v>
      </c>
    </row>
    <row r="348" ht="30" customHeight="1" spans="1:27">
      <c r="A348" s="29" t="s">
        <v>25</v>
      </c>
      <c r="B348" s="29" t="s">
        <v>61</v>
      </c>
      <c r="C348" s="13" t="s">
        <v>219</v>
      </c>
      <c r="D348" s="29" t="s">
        <v>70</v>
      </c>
      <c r="E348" s="23">
        <v>4831.5299</v>
      </c>
      <c r="F348" s="20"/>
      <c r="G348" s="29"/>
      <c r="H348" s="33"/>
      <c r="I348" s="29"/>
      <c r="J348" s="29" t="s">
        <v>64</v>
      </c>
      <c r="AA348" t="str">
        <f t="shared" si="5"/>
        <v>Rice</v>
      </c>
    </row>
    <row r="349" ht="30" customHeight="1" spans="1:27">
      <c r="A349" s="29" t="s">
        <v>25</v>
      </c>
      <c r="B349" s="29" t="s">
        <v>61</v>
      </c>
      <c r="C349" s="13" t="s">
        <v>219</v>
      </c>
      <c r="D349" s="29" t="s">
        <v>71</v>
      </c>
      <c r="E349" s="23">
        <v>319.5648</v>
      </c>
      <c r="F349" s="20"/>
      <c r="G349" s="29"/>
      <c r="H349" s="33"/>
      <c r="I349" s="29"/>
      <c r="J349" s="29" t="s">
        <v>64</v>
      </c>
      <c r="AA349" t="str">
        <f t="shared" si="5"/>
        <v>Rice</v>
      </c>
    </row>
    <row r="350" ht="30" customHeight="1" spans="1:27">
      <c r="A350" s="29" t="s">
        <v>25</v>
      </c>
      <c r="B350" s="29" t="s">
        <v>61</v>
      </c>
      <c r="C350" s="13" t="s">
        <v>219</v>
      </c>
      <c r="D350" s="29" t="s">
        <v>146</v>
      </c>
      <c r="E350" s="19">
        <v>175</v>
      </c>
      <c r="F350" s="20"/>
      <c r="G350" s="29"/>
      <c r="H350" s="33"/>
      <c r="I350" s="29"/>
      <c r="J350" s="29" t="s">
        <v>33</v>
      </c>
      <c r="AA350" t="str">
        <f t="shared" si="5"/>
        <v>Various Commodities (SAAD)</v>
      </c>
    </row>
    <row r="351" ht="30" customHeight="1" spans="1:27">
      <c r="A351" s="29" t="s">
        <v>25</v>
      </c>
      <c r="B351" s="29" t="s">
        <v>61</v>
      </c>
      <c r="C351" s="13" t="s">
        <v>219</v>
      </c>
      <c r="D351" s="29" t="s">
        <v>208</v>
      </c>
      <c r="E351" s="19">
        <v>375</v>
      </c>
      <c r="F351" s="20"/>
      <c r="G351" s="29"/>
      <c r="H351" s="33"/>
      <c r="I351" s="29"/>
      <c r="J351" s="29" t="s">
        <v>33</v>
      </c>
      <c r="AA351" t="str">
        <f t="shared" si="5"/>
        <v>Various Commodities (SAAD)</v>
      </c>
    </row>
    <row r="352" ht="30" customHeight="1" spans="1:27">
      <c r="A352" s="29" t="s">
        <v>25</v>
      </c>
      <c r="B352" s="29" t="s">
        <v>61</v>
      </c>
      <c r="C352" s="13" t="s">
        <v>219</v>
      </c>
      <c r="D352" s="29" t="s">
        <v>148</v>
      </c>
      <c r="E352" s="19">
        <v>340</v>
      </c>
      <c r="F352" s="20"/>
      <c r="G352" s="29"/>
      <c r="H352" s="33"/>
      <c r="I352" s="29"/>
      <c r="J352" s="29" t="s">
        <v>33</v>
      </c>
      <c r="AA352" t="str">
        <f t="shared" si="5"/>
        <v>Various Commodities (SAAD)</v>
      </c>
    </row>
    <row r="353" ht="30" customHeight="1" spans="1:27">
      <c r="A353" s="29" t="s">
        <v>25</v>
      </c>
      <c r="B353" s="29" t="s">
        <v>61</v>
      </c>
      <c r="C353" s="13" t="s">
        <v>219</v>
      </c>
      <c r="D353" s="29" t="s">
        <v>220</v>
      </c>
      <c r="E353" s="19">
        <v>200</v>
      </c>
      <c r="F353" s="20"/>
      <c r="G353" s="29"/>
      <c r="H353" s="33"/>
      <c r="I353" s="29"/>
      <c r="J353" s="29" t="s">
        <v>33</v>
      </c>
      <c r="AA353" t="str">
        <f t="shared" si="5"/>
        <v>Various Commodities (SAAD)</v>
      </c>
    </row>
    <row r="354" ht="30" customHeight="1" spans="1:27">
      <c r="A354" s="29" t="s">
        <v>25</v>
      </c>
      <c r="B354" s="29" t="s">
        <v>61</v>
      </c>
      <c r="C354" s="13" t="s">
        <v>221</v>
      </c>
      <c r="D354" s="30" t="s">
        <v>222</v>
      </c>
      <c r="E354" s="19"/>
      <c r="F354" s="20">
        <v>26100</v>
      </c>
      <c r="G354" s="29"/>
      <c r="H354" s="29"/>
      <c r="I354" s="29"/>
      <c r="J354" s="29" t="s">
        <v>29</v>
      </c>
      <c r="AA354" t="str">
        <f t="shared" si="5"/>
        <v>Farm-to-Market Road</v>
      </c>
    </row>
    <row r="355" ht="30" customHeight="1" spans="1:27">
      <c r="A355" s="29" t="s">
        <v>25</v>
      </c>
      <c r="B355" s="29" t="s">
        <v>61</v>
      </c>
      <c r="C355" s="13" t="s">
        <v>221</v>
      </c>
      <c r="D355" s="29" t="s">
        <v>90</v>
      </c>
      <c r="E355" s="19"/>
      <c r="F355" s="20"/>
      <c r="G355" s="29"/>
      <c r="H355" s="33"/>
      <c r="I355" s="33"/>
      <c r="J355" s="29" t="s">
        <v>75</v>
      </c>
      <c r="AA355" t="str">
        <f t="shared" si="5"/>
        <v>Corn</v>
      </c>
    </row>
    <row r="356" ht="30" customHeight="1" spans="1:27">
      <c r="A356" s="29" t="s">
        <v>25</v>
      </c>
      <c r="B356" s="29" t="s">
        <v>61</v>
      </c>
      <c r="C356" s="13" t="s">
        <v>221</v>
      </c>
      <c r="D356" s="29" t="s">
        <v>70</v>
      </c>
      <c r="E356" s="23">
        <v>29171.0376</v>
      </c>
      <c r="F356" s="20"/>
      <c r="G356" s="29"/>
      <c r="H356" s="33"/>
      <c r="I356" s="29"/>
      <c r="J356" s="29" t="s">
        <v>64</v>
      </c>
      <c r="AA356" t="str">
        <f t="shared" si="5"/>
        <v>Rice</v>
      </c>
    </row>
    <row r="357" ht="30" customHeight="1" spans="1:27">
      <c r="A357" s="29" t="s">
        <v>25</v>
      </c>
      <c r="B357" s="29" t="s">
        <v>61</v>
      </c>
      <c r="C357" s="13" t="s">
        <v>221</v>
      </c>
      <c r="D357" s="29" t="s">
        <v>71</v>
      </c>
      <c r="E357" s="23">
        <v>1929.4173</v>
      </c>
      <c r="F357" s="20"/>
      <c r="G357" s="29"/>
      <c r="H357" s="33"/>
      <c r="I357" s="29"/>
      <c r="J357" s="29" t="s">
        <v>64</v>
      </c>
      <c r="AA357" t="str">
        <f t="shared" si="5"/>
        <v>Rice</v>
      </c>
    </row>
    <row r="358" ht="30" customHeight="1" spans="1:27">
      <c r="A358" s="29" t="s">
        <v>25</v>
      </c>
      <c r="B358" s="29" t="s">
        <v>61</v>
      </c>
      <c r="C358" s="13" t="s">
        <v>223</v>
      </c>
      <c r="D358" s="29" t="s">
        <v>112</v>
      </c>
      <c r="E358" s="19">
        <v>2100</v>
      </c>
      <c r="F358" s="20"/>
      <c r="G358" s="29"/>
      <c r="H358" s="33"/>
      <c r="I358" s="29"/>
      <c r="J358" s="29" t="s">
        <v>96</v>
      </c>
      <c r="AA358" t="str">
        <f t="shared" si="5"/>
        <v>Corn</v>
      </c>
    </row>
    <row r="359" ht="30" customHeight="1" spans="1:27">
      <c r="A359" s="29" t="s">
        <v>25</v>
      </c>
      <c r="B359" s="29" t="s">
        <v>61</v>
      </c>
      <c r="C359" s="13" t="s">
        <v>223</v>
      </c>
      <c r="D359" s="30" t="s">
        <v>224</v>
      </c>
      <c r="E359" s="19">
        <v>45000</v>
      </c>
      <c r="F359" s="20"/>
      <c r="G359" s="29"/>
      <c r="H359" s="29"/>
      <c r="I359" s="29"/>
      <c r="J359" s="29" t="s">
        <v>29</v>
      </c>
      <c r="AA359" t="str">
        <f t="shared" si="5"/>
        <v>Farm-to-Market Road</v>
      </c>
    </row>
    <row r="360" ht="30" customHeight="1" spans="1:27">
      <c r="A360" s="29" t="s">
        <v>25</v>
      </c>
      <c r="B360" s="29" t="s">
        <v>61</v>
      </c>
      <c r="C360" s="13" t="s">
        <v>223</v>
      </c>
      <c r="D360" s="30" t="s">
        <v>225</v>
      </c>
      <c r="E360" s="19"/>
      <c r="F360" s="20">
        <v>36000</v>
      </c>
      <c r="G360" s="29"/>
      <c r="H360" s="29"/>
      <c r="I360" s="29"/>
      <c r="J360" s="29" t="s">
        <v>29</v>
      </c>
      <c r="AA360" t="str">
        <f t="shared" si="5"/>
        <v>Farm-to-Market Road</v>
      </c>
    </row>
    <row r="361" ht="30" customHeight="1" spans="1:27">
      <c r="A361" s="29" t="s">
        <v>25</v>
      </c>
      <c r="B361" s="29" t="s">
        <v>61</v>
      </c>
      <c r="C361" s="13" t="s">
        <v>223</v>
      </c>
      <c r="D361" s="30" t="s">
        <v>226</v>
      </c>
      <c r="E361" s="19"/>
      <c r="F361" s="20">
        <v>15225</v>
      </c>
      <c r="G361" s="29"/>
      <c r="H361" s="29"/>
      <c r="I361" s="29"/>
      <c r="J361" s="29" t="s">
        <v>29</v>
      </c>
      <c r="AA361" t="str">
        <f t="shared" si="5"/>
        <v>Farm-to-Market Road</v>
      </c>
    </row>
    <row r="362" ht="30" customHeight="1" spans="1:27">
      <c r="A362" s="29" t="s">
        <v>25</v>
      </c>
      <c r="B362" s="29" t="s">
        <v>61</v>
      </c>
      <c r="C362" s="13" t="s">
        <v>223</v>
      </c>
      <c r="D362" s="30" t="s">
        <v>227</v>
      </c>
      <c r="E362" s="19"/>
      <c r="F362" s="20">
        <v>15000</v>
      </c>
      <c r="G362" s="29"/>
      <c r="H362" s="29"/>
      <c r="I362" s="29"/>
      <c r="J362" s="29" t="s">
        <v>29</v>
      </c>
      <c r="AA362" t="str">
        <f t="shared" si="5"/>
        <v>Farm-to-Market Road</v>
      </c>
    </row>
    <row r="363" ht="30" customHeight="1" spans="1:27">
      <c r="A363" s="29" t="s">
        <v>25</v>
      </c>
      <c r="B363" s="29" t="s">
        <v>61</v>
      </c>
      <c r="C363" s="13" t="s">
        <v>223</v>
      </c>
      <c r="D363" s="29" t="s">
        <v>114</v>
      </c>
      <c r="E363" s="19">
        <v>2100</v>
      </c>
      <c r="F363" s="20"/>
      <c r="G363" s="29"/>
      <c r="H363" s="33"/>
      <c r="I363" s="29"/>
      <c r="J363" s="29" t="s">
        <v>75</v>
      </c>
      <c r="AA363" t="str">
        <f t="shared" si="5"/>
        <v>Corn</v>
      </c>
    </row>
    <row r="364" ht="30" customHeight="1" spans="1:27">
      <c r="A364" s="29" t="s">
        <v>25</v>
      </c>
      <c r="B364" s="29" t="s">
        <v>61</v>
      </c>
      <c r="C364" s="13" t="s">
        <v>223</v>
      </c>
      <c r="D364" s="29" t="s">
        <v>115</v>
      </c>
      <c r="E364" s="23">
        <v>33507.7078</v>
      </c>
      <c r="F364" s="24">
        <v>4124.0256</v>
      </c>
      <c r="G364" s="29"/>
      <c r="H364" s="33"/>
      <c r="I364" s="33"/>
      <c r="J364" s="29" t="s">
        <v>64</v>
      </c>
      <c r="AA364" t="str">
        <f t="shared" si="5"/>
        <v>Rice</v>
      </c>
    </row>
    <row r="365" ht="30" customHeight="1" spans="1:27">
      <c r="A365" s="29" t="s">
        <v>25</v>
      </c>
      <c r="B365" s="29" t="s">
        <v>61</v>
      </c>
      <c r="C365" s="13" t="s">
        <v>223</v>
      </c>
      <c r="D365" s="29" t="s">
        <v>66</v>
      </c>
      <c r="E365" s="19">
        <v>1500</v>
      </c>
      <c r="F365" s="20"/>
      <c r="G365" s="29"/>
      <c r="H365" s="33"/>
      <c r="I365" s="29"/>
      <c r="J365" s="29" t="s">
        <v>67</v>
      </c>
      <c r="AA365" t="str">
        <f t="shared" si="5"/>
        <v>Rice</v>
      </c>
    </row>
    <row r="366" ht="30" customHeight="1" spans="1:27">
      <c r="A366" s="29" t="s">
        <v>25</v>
      </c>
      <c r="B366" s="29" t="s">
        <v>61</v>
      </c>
      <c r="C366" s="13" t="s">
        <v>223</v>
      </c>
      <c r="D366" s="29" t="s">
        <v>69</v>
      </c>
      <c r="E366" s="19">
        <v>2300</v>
      </c>
      <c r="F366" s="20"/>
      <c r="G366" s="29"/>
      <c r="H366" s="33"/>
      <c r="I366" s="29"/>
      <c r="J366" s="29" t="s">
        <v>67</v>
      </c>
      <c r="AA366" t="str">
        <f t="shared" si="5"/>
        <v>Rice</v>
      </c>
    </row>
    <row r="367" ht="30" customHeight="1" spans="1:27">
      <c r="A367" s="29" t="s">
        <v>25</v>
      </c>
      <c r="B367" s="29" t="s">
        <v>61</v>
      </c>
      <c r="C367" s="13" t="s">
        <v>223</v>
      </c>
      <c r="D367" s="29" t="s">
        <v>202</v>
      </c>
      <c r="E367" s="19">
        <v>160</v>
      </c>
      <c r="F367" s="20"/>
      <c r="G367" s="29"/>
      <c r="H367" s="33"/>
      <c r="I367" s="29"/>
      <c r="J367" s="29" t="s">
        <v>35</v>
      </c>
      <c r="AA367" t="str">
        <f t="shared" si="5"/>
        <v>High Value Crops (Vegetables/Fruits/Rootcrops)</v>
      </c>
    </row>
    <row r="368" ht="30" customHeight="1" spans="1:27">
      <c r="A368" s="29" t="s">
        <v>25</v>
      </c>
      <c r="B368" s="29" t="s">
        <v>61</v>
      </c>
      <c r="C368" s="13" t="s">
        <v>223</v>
      </c>
      <c r="D368" s="29" t="s">
        <v>90</v>
      </c>
      <c r="E368" s="19"/>
      <c r="F368" s="20"/>
      <c r="G368" s="29"/>
      <c r="H368" s="33"/>
      <c r="I368" s="33"/>
      <c r="J368" s="29" t="s">
        <v>75</v>
      </c>
      <c r="AA368" t="str">
        <f t="shared" si="5"/>
        <v>Corn</v>
      </c>
    </row>
    <row r="369" ht="30" customHeight="1" spans="1:27">
      <c r="A369" s="29" t="s">
        <v>25</v>
      </c>
      <c r="B369" s="29" t="s">
        <v>61</v>
      </c>
      <c r="C369" s="13" t="s">
        <v>223</v>
      </c>
      <c r="D369" s="29" t="s">
        <v>70</v>
      </c>
      <c r="E369" s="23">
        <v>150784.6852</v>
      </c>
      <c r="F369" s="20"/>
      <c r="G369" s="29"/>
      <c r="H369" s="33"/>
      <c r="I369" s="29"/>
      <c r="J369" s="29" t="s">
        <v>64</v>
      </c>
      <c r="AA369" t="str">
        <f t="shared" si="5"/>
        <v>Rice</v>
      </c>
    </row>
    <row r="370" ht="30" customHeight="1" spans="1:27">
      <c r="A370" s="29" t="s">
        <v>25</v>
      </c>
      <c r="B370" s="29" t="s">
        <v>61</v>
      </c>
      <c r="C370" s="13" t="s">
        <v>223</v>
      </c>
      <c r="D370" s="29" t="s">
        <v>91</v>
      </c>
      <c r="E370" s="19"/>
      <c r="F370" s="20">
        <v>10000</v>
      </c>
      <c r="G370" s="29"/>
      <c r="H370" s="29"/>
      <c r="I370" s="33"/>
      <c r="J370" s="29" t="s">
        <v>75</v>
      </c>
      <c r="AA370" t="str">
        <f t="shared" si="5"/>
        <v>Corn</v>
      </c>
    </row>
    <row r="371" ht="45" customHeight="1" spans="1:27">
      <c r="A371" s="29" t="s">
        <v>25</v>
      </c>
      <c r="B371" s="29" t="s">
        <v>61</v>
      </c>
      <c r="C371" s="13" t="s">
        <v>223</v>
      </c>
      <c r="D371" s="29" t="s">
        <v>71</v>
      </c>
      <c r="E371" s="23">
        <v>9973.1311</v>
      </c>
      <c r="F371" s="20"/>
      <c r="G371" s="29"/>
      <c r="H371" s="33"/>
      <c r="I371" s="29"/>
      <c r="J371" s="29" t="s">
        <v>64</v>
      </c>
      <c r="AA371" t="str">
        <f t="shared" si="5"/>
        <v>Rice</v>
      </c>
    </row>
    <row r="372" ht="45" customHeight="1" spans="1:27">
      <c r="A372" s="29" t="s">
        <v>25</v>
      </c>
      <c r="B372" s="29" t="s">
        <v>61</v>
      </c>
      <c r="C372" s="13" t="s">
        <v>223</v>
      </c>
      <c r="D372" s="29" t="s">
        <v>72</v>
      </c>
      <c r="E372" s="19">
        <v>1237.96</v>
      </c>
      <c r="F372" s="20"/>
      <c r="G372" s="29"/>
      <c r="H372" s="33"/>
      <c r="I372" s="29"/>
      <c r="J372" s="29" t="s">
        <v>35</v>
      </c>
      <c r="AA372" t="str">
        <f t="shared" si="5"/>
        <v>High Value Crops (Vegetables/Fruits/Rootcrops)</v>
      </c>
    </row>
    <row r="373" ht="30" customHeight="1" spans="1:27">
      <c r="A373" s="29" t="s">
        <v>25</v>
      </c>
      <c r="B373" s="29" t="s">
        <v>61</v>
      </c>
      <c r="C373" s="13" t="s">
        <v>223</v>
      </c>
      <c r="D373" s="29" t="s">
        <v>121</v>
      </c>
      <c r="E373" s="19">
        <v>3000</v>
      </c>
      <c r="F373" s="20">
        <v>3000</v>
      </c>
      <c r="G373" s="29"/>
      <c r="H373" s="33"/>
      <c r="I373" s="33"/>
      <c r="J373" s="29" t="s">
        <v>75</v>
      </c>
      <c r="AA373" t="str">
        <f t="shared" si="5"/>
        <v>Corn</v>
      </c>
    </row>
    <row r="374" ht="30" customHeight="1" spans="1:27">
      <c r="A374" s="29" t="s">
        <v>25</v>
      </c>
      <c r="B374" s="29" t="s">
        <v>61</v>
      </c>
      <c r="C374" s="13" t="s">
        <v>223</v>
      </c>
      <c r="D374" s="29" t="s">
        <v>122</v>
      </c>
      <c r="E374" s="19">
        <v>1250</v>
      </c>
      <c r="F374" s="20"/>
      <c r="G374" s="29"/>
      <c r="H374" s="33"/>
      <c r="I374" s="29"/>
      <c r="J374" s="29" t="s">
        <v>96</v>
      </c>
      <c r="AA374" t="str">
        <f t="shared" si="5"/>
        <v>Corn</v>
      </c>
    </row>
    <row r="375" ht="30" customHeight="1" spans="1:27">
      <c r="A375" s="29" t="s">
        <v>25</v>
      </c>
      <c r="B375" s="29" t="s">
        <v>61</v>
      </c>
      <c r="C375" s="13" t="s">
        <v>223</v>
      </c>
      <c r="D375" s="29" t="s">
        <v>73</v>
      </c>
      <c r="E375" s="19">
        <v>19200</v>
      </c>
      <c r="F375" s="20"/>
      <c r="G375" s="29"/>
      <c r="H375" s="33"/>
      <c r="I375" s="29"/>
      <c r="J375" s="29" t="s">
        <v>64</v>
      </c>
      <c r="AA375" t="str">
        <f t="shared" si="5"/>
        <v>Rice</v>
      </c>
    </row>
    <row r="376" spans="1:27">
      <c r="A376" s="29" t="s">
        <v>25</v>
      </c>
      <c r="B376" s="29" t="s">
        <v>61</v>
      </c>
      <c r="C376" s="13" t="s">
        <v>223</v>
      </c>
      <c r="D376" s="29" t="s">
        <v>36</v>
      </c>
      <c r="E376" s="19">
        <v>3000</v>
      </c>
      <c r="F376" s="20"/>
      <c r="G376" s="29"/>
      <c r="H376" s="33"/>
      <c r="I376" s="29"/>
      <c r="J376" s="29" t="s">
        <v>35</v>
      </c>
      <c r="AA376" t="str">
        <f t="shared" si="5"/>
        <v>High Value Crops (Vegetables/Fruits/Rootcrops)</v>
      </c>
    </row>
    <row r="377" spans="1:27">
      <c r="A377" s="29" t="s">
        <v>25</v>
      </c>
      <c r="B377" s="29" t="s">
        <v>61</v>
      </c>
      <c r="C377" s="13" t="s">
        <v>223</v>
      </c>
      <c r="D377" s="29" t="s">
        <v>102</v>
      </c>
      <c r="E377" s="19"/>
      <c r="F377" s="20">
        <v>250</v>
      </c>
      <c r="G377" s="29"/>
      <c r="H377" s="29"/>
      <c r="I377" s="33"/>
      <c r="J377" s="29" t="s">
        <v>75</v>
      </c>
      <c r="AA377" t="str">
        <f t="shared" si="5"/>
        <v>Corn</v>
      </c>
    </row>
    <row r="378" spans="1:27">
      <c r="A378" s="29" t="s">
        <v>25</v>
      </c>
      <c r="B378" s="29" t="s">
        <v>61</v>
      </c>
      <c r="C378" s="13" t="s">
        <v>223</v>
      </c>
      <c r="D378" s="29" t="s">
        <v>205</v>
      </c>
      <c r="E378" s="19">
        <v>2000</v>
      </c>
      <c r="F378" s="20"/>
      <c r="G378" s="29"/>
      <c r="H378" s="33"/>
      <c r="I378" s="29"/>
      <c r="J378" s="29" t="s">
        <v>35</v>
      </c>
      <c r="AA378" t="str">
        <f t="shared" si="5"/>
        <v>High Value Crops (Vegetables/Fruits/Rootcrops)</v>
      </c>
    </row>
    <row r="379" spans="1:27">
      <c r="A379" s="29" t="s">
        <v>25</v>
      </c>
      <c r="B379" s="29" t="s">
        <v>61</v>
      </c>
      <c r="C379" s="13" t="s">
        <v>223</v>
      </c>
      <c r="D379" s="29" t="s">
        <v>141</v>
      </c>
      <c r="E379" s="19">
        <v>25000</v>
      </c>
      <c r="F379" s="20"/>
      <c r="G379" s="29"/>
      <c r="H379" s="33"/>
      <c r="I379" s="29"/>
      <c r="J379" s="29" t="s">
        <v>67</v>
      </c>
      <c r="AA379" t="str">
        <f t="shared" si="5"/>
        <v>Rice</v>
      </c>
    </row>
    <row r="380" ht="30" spans="1:27">
      <c r="A380" s="29" t="s">
        <v>25</v>
      </c>
      <c r="B380" s="29" t="s">
        <v>61</v>
      </c>
      <c r="C380" s="13" t="s">
        <v>223</v>
      </c>
      <c r="D380" s="29" t="s">
        <v>74</v>
      </c>
      <c r="E380" s="19"/>
      <c r="F380" s="20"/>
      <c r="G380" s="29"/>
      <c r="H380" s="33"/>
      <c r="I380" s="29"/>
      <c r="J380" s="29" t="s">
        <v>75</v>
      </c>
      <c r="AA380" t="str">
        <f t="shared" si="5"/>
        <v>Corn</v>
      </c>
    </row>
    <row r="381" spans="1:27">
      <c r="A381" s="29" t="s">
        <v>25</v>
      </c>
      <c r="B381" s="29" t="s">
        <v>61</v>
      </c>
      <c r="C381" s="13" t="s">
        <v>223</v>
      </c>
      <c r="D381" s="29" t="s">
        <v>184</v>
      </c>
      <c r="E381" s="19">
        <v>200</v>
      </c>
      <c r="F381" s="20"/>
      <c r="G381" s="29"/>
      <c r="H381" s="33"/>
      <c r="I381" s="29"/>
      <c r="J381" s="29" t="s">
        <v>35</v>
      </c>
      <c r="AA381" t="str">
        <f t="shared" si="5"/>
        <v>High Value Crops (Vegetables/Fruits/Rootcrops)</v>
      </c>
    </row>
    <row r="382" ht="30" customHeight="1" spans="1:27">
      <c r="A382" s="29" t="s">
        <v>25</v>
      </c>
      <c r="B382" s="29" t="s">
        <v>61</v>
      </c>
      <c r="C382" s="13" t="s">
        <v>228</v>
      </c>
      <c r="D382" s="30" t="s">
        <v>229</v>
      </c>
      <c r="E382" s="19">
        <v>43500</v>
      </c>
      <c r="F382" s="20"/>
      <c r="G382" s="29"/>
      <c r="H382" s="29"/>
      <c r="I382" s="29"/>
      <c r="J382" s="29" t="s">
        <v>29</v>
      </c>
      <c r="AA382" t="str">
        <f t="shared" si="5"/>
        <v>Farm-to-Market Road</v>
      </c>
    </row>
    <row r="383" ht="30" customHeight="1" spans="1:27">
      <c r="A383" s="29" t="s">
        <v>25</v>
      </c>
      <c r="B383" s="29" t="s">
        <v>61</v>
      </c>
      <c r="C383" s="13" t="s">
        <v>228</v>
      </c>
      <c r="D383" s="30" t="s">
        <v>230</v>
      </c>
      <c r="E383" s="19"/>
      <c r="F383" s="20">
        <v>15000</v>
      </c>
      <c r="G383" s="29"/>
      <c r="H383" s="29"/>
      <c r="I383" s="29"/>
      <c r="J383" s="29" t="s">
        <v>29</v>
      </c>
      <c r="AA383" t="str">
        <f t="shared" si="5"/>
        <v>Farm-to-Market Road</v>
      </c>
    </row>
    <row r="384" spans="1:27">
      <c r="A384" s="29" t="s">
        <v>25</v>
      </c>
      <c r="B384" s="29" t="s">
        <v>61</v>
      </c>
      <c r="C384" s="13" t="s">
        <v>228</v>
      </c>
      <c r="D384" s="29" t="s">
        <v>95</v>
      </c>
      <c r="E384" s="19">
        <v>1000</v>
      </c>
      <c r="F384" s="20"/>
      <c r="G384" s="29"/>
      <c r="H384" s="33"/>
      <c r="I384" s="29"/>
      <c r="J384" s="29" t="s">
        <v>96</v>
      </c>
      <c r="AA384" t="str">
        <f t="shared" si="5"/>
        <v>Corn</v>
      </c>
    </row>
    <row r="385" spans="1:27">
      <c r="A385" s="29" t="s">
        <v>25</v>
      </c>
      <c r="B385" s="29" t="s">
        <v>61</v>
      </c>
      <c r="C385" s="13" t="s">
        <v>228</v>
      </c>
      <c r="D385" s="29" t="s">
        <v>98</v>
      </c>
      <c r="E385" s="19">
        <v>166.93785</v>
      </c>
      <c r="F385" s="20"/>
      <c r="G385" s="29"/>
      <c r="H385" s="33"/>
      <c r="I385" s="29"/>
      <c r="J385" s="29" t="s">
        <v>35</v>
      </c>
      <c r="AA385" t="str">
        <f t="shared" si="5"/>
        <v>High Value Crops (Vegetables/Fruits/Rootcrops)</v>
      </c>
    </row>
    <row r="386" ht="30" spans="1:27">
      <c r="A386" s="29" t="s">
        <v>25</v>
      </c>
      <c r="B386" s="29" t="s">
        <v>61</v>
      </c>
      <c r="C386" s="13" t="s">
        <v>228</v>
      </c>
      <c r="D386" s="29" t="s">
        <v>160</v>
      </c>
      <c r="E386" s="19">
        <v>2500</v>
      </c>
      <c r="F386" s="20"/>
      <c r="G386" s="29"/>
      <c r="H386" s="33"/>
      <c r="I386" s="29"/>
      <c r="J386" s="29" t="s">
        <v>80</v>
      </c>
      <c r="AA386" t="str">
        <f t="shared" si="5"/>
        <v>Livestock (Cattle/Carabao/Swine/Poultry)</v>
      </c>
    </row>
    <row r="387" ht="30" customHeight="1" spans="1:27">
      <c r="A387" s="29" t="s">
        <v>25</v>
      </c>
      <c r="B387" s="29" t="s">
        <v>61</v>
      </c>
      <c r="C387" s="13" t="s">
        <v>228</v>
      </c>
      <c r="D387" s="29" t="s">
        <v>122</v>
      </c>
      <c r="E387" s="19">
        <v>1250</v>
      </c>
      <c r="F387" s="20"/>
      <c r="G387" s="29"/>
      <c r="H387" s="33"/>
      <c r="I387" s="29"/>
      <c r="J387" s="29" t="s">
        <v>96</v>
      </c>
      <c r="AA387" t="str">
        <f t="shared" si="5"/>
        <v>Corn</v>
      </c>
    </row>
    <row r="388" ht="30" customHeight="1" spans="1:27">
      <c r="A388" s="29" t="s">
        <v>25</v>
      </c>
      <c r="B388" s="29" t="s">
        <v>61</v>
      </c>
      <c r="C388" s="13" t="s">
        <v>228</v>
      </c>
      <c r="D388" s="29" t="s">
        <v>36</v>
      </c>
      <c r="E388" s="19">
        <v>1500</v>
      </c>
      <c r="F388" s="20"/>
      <c r="G388" s="29"/>
      <c r="H388" s="33"/>
      <c r="I388" s="29"/>
      <c r="J388" s="29" t="s">
        <v>35</v>
      </c>
      <c r="AA388" t="str">
        <f t="shared" si="5"/>
        <v>High Value Crops (Vegetables/Fruits/Rootcrops)</v>
      </c>
    </row>
    <row r="389" ht="30" customHeight="1" spans="1:27">
      <c r="A389" s="29" t="s">
        <v>25</v>
      </c>
      <c r="B389" s="29" t="s">
        <v>61</v>
      </c>
      <c r="C389" s="13" t="s">
        <v>228</v>
      </c>
      <c r="D389" s="29" t="s">
        <v>136</v>
      </c>
      <c r="E389" s="19">
        <v>60.83</v>
      </c>
      <c r="F389" s="20"/>
      <c r="G389" s="29"/>
      <c r="H389" s="33"/>
      <c r="I389" s="29"/>
      <c r="J389" s="29" t="s">
        <v>75</v>
      </c>
      <c r="AA389" t="str">
        <f t="shared" si="5"/>
        <v>Corn</v>
      </c>
    </row>
    <row r="390" ht="30" customHeight="1" spans="1:27">
      <c r="A390" s="29" t="s">
        <v>25</v>
      </c>
      <c r="B390" s="29" t="s">
        <v>61</v>
      </c>
      <c r="C390" s="13" t="s">
        <v>228</v>
      </c>
      <c r="D390" s="29" t="s">
        <v>184</v>
      </c>
      <c r="E390" s="19">
        <v>200</v>
      </c>
      <c r="F390" s="20"/>
      <c r="G390" s="29"/>
      <c r="H390" s="33"/>
      <c r="I390" s="29"/>
      <c r="J390" s="29" t="s">
        <v>35</v>
      </c>
      <c r="AA390" t="str">
        <f t="shared" si="5"/>
        <v>High Value Crops (Vegetables/Fruits/Rootcrops)</v>
      </c>
    </row>
    <row r="391" ht="30" customHeight="1" spans="1:27">
      <c r="A391" s="29" t="s">
        <v>25</v>
      </c>
      <c r="B391" s="29" t="s">
        <v>61</v>
      </c>
      <c r="C391" s="13" t="s">
        <v>231</v>
      </c>
      <c r="D391" s="30" t="s">
        <v>232</v>
      </c>
      <c r="E391" s="19">
        <v>15000</v>
      </c>
      <c r="F391" s="20"/>
      <c r="G391" s="29"/>
      <c r="H391" s="29"/>
      <c r="I391" s="29"/>
      <c r="J391" s="29" t="s">
        <v>29</v>
      </c>
      <c r="AA391" t="str">
        <f t="shared" si="5"/>
        <v>Farm-to-Market Road</v>
      </c>
    </row>
    <row r="392" ht="30" customHeight="1" spans="1:27">
      <c r="A392" s="29" t="s">
        <v>25</v>
      </c>
      <c r="B392" s="29" t="s">
        <v>61</v>
      </c>
      <c r="C392" s="13" t="s">
        <v>231</v>
      </c>
      <c r="D392" s="29" t="s">
        <v>233</v>
      </c>
      <c r="E392" s="19">
        <v>1000</v>
      </c>
      <c r="F392" s="20"/>
      <c r="G392" s="29"/>
      <c r="H392" s="33"/>
      <c r="I392" s="29"/>
      <c r="J392" s="29" t="s">
        <v>67</v>
      </c>
      <c r="AA392" t="str">
        <f t="shared" si="5"/>
        <v>Rice</v>
      </c>
    </row>
    <row r="393" ht="30" customHeight="1" spans="1:27">
      <c r="A393" s="29" t="s">
        <v>25</v>
      </c>
      <c r="B393" s="29" t="s">
        <v>61</v>
      </c>
      <c r="C393" s="13" t="s">
        <v>231</v>
      </c>
      <c r="D393" s="29" t="s">
        <v>115</v>
      </c>
      <c r="E393" s="23">
        <v>19529.606</v>
      </c>
      <c r="F393" s="24">
        <v>2403.6438</v>
      </c>
      <c r="G393" s="29"/>
      <c r="H393" s="33"/>
      <c r="I393" s="33"/>
      <c r="J393" s="29" t="s">
        <v>64</v>
      </c>
      <c r="AA393" t="str">
        <f t="shared" si="5"/>
        <v>Rice</v>
      </c>
    </row>
    <row r="394" ht="30" customHeight="1" spans="1:27">
      <c r="A394" s="29" t="s">
        <v>25</v>
      </c>
      <c r="B394" s="29" t="s">
        <v>61</v>
      </c>
      <c r="C394" s="13" t="s">
        <v>231</v>
      </c>
      <c r="D394" s="29" t="s">
        <v>66</v>
      </c>
      <c r="E394" s="19">
        <v>1500</v>
      </c>
      <c r="F394" s="20"/>
      <c r="G394" s="29"/>
      <c r="H394" s="33"/>
      <c r="I394" s="29"/>
      <c r="J394" s="29" t="s">
        <v>67</v>
      </c>
      <c r="AA394" t="str">
        <f t="shared" ref="AA394:AA457" si="6">_xlfn.IFS(J394="DA-FMRDP","Farm-to-Market Road",J394="DA-RFO2 RICE","Rice",J394="DA-RFO2 Rice Program","Rice",J394="DA-RFO2 CORN","Corn",J394="DA-RFO2 Corn Program","Corn",J394="DA-RFO2 HVCDP","High Value Crops (Vegetables/Fruits/Rootcrops)",J394="DA-RFO2 HVCDP Export","High Value Export Crops (Dragon Fruit/Ube/Okra/Banana)",J394="DA-RFO2 HVCDP Coffee","Coffee (HVCDP)",J394="DA-RFO2 LIVESTOCK","Livestock (Cattle/Carabao/Swine/Poultry)",J394="DA-RFO2 SAAD","Various Commodities (SAAD)",J394="DA-RFO2 4K","Various Commodities (4Ks)",J394="DA-RFO2 4KS","Various Commodities (4Ks)",J394="DA-RFO2 HALAL","Halal Food Products",J394="DA-RFO2 OAP","Organic Agriculture",J394="DA-RFO2 NUPAP","Vegetables (NUPAP/Urban Agri)",TRUE,IF(ISNUMBER(SEARCH("FMR",D394)),"Farm-to-Market Road",IF(ISNUMBER(SEARCH("RICE",D394)),"Rice",IF(ISNUMBER(SEARCH("CORN",D394)),"Corn",IF(ISNUMBER(SEARCH("HVCDP COFFEE",D394)),"Coffee (HVCDP)",IF(ISNUMBER(SEARCH("HVCDP EXPORT",D394)),"High Value Export Crops (Dragon Fruit/Ube/Okra/Banana)",IF(ISNUMBER(SEARCH("HVCDP",D394)),"High Value Crops (Vegetables/Fruits/Rootcrops)",IF(ISNUMBER(SEARCH("LIVESTOCK",D394)),"Livestock (Cattle/Carabao/Swine/Poultry)",IF(ISNUMBER(SEARCH("SAAD",D394)),"Various Commodities (SAAD)",IF(ISNUMBER(SEARCH("4KS",D394)),"Various Commodities (4Ks)",IF(ISNUMBER(SEARCH("4K",D394)),"Various Commodities (4Ks)",IF(ISNUMBER(SEARCH("HALAL",D394)),"Halal Food Products",IF(ISNUMBER(SEARCH("OAP",D394)),"Organic Agriculture",IF(ISNUMBER(SEARCH("NUPAP",D394)),"Vegetables (NUPAP/Urban Agri)",""))))))))))))))</f>
        <v>Rice</v>
      </c>
    </row>
    <row r="395" ht="30" customHeight="1" spans="1:27">
      <c r="A395" s="29" t="s">
        <v>25</v>
      </c>
      <c r="B395" s="29" t="s">
        <v>61</v>
      </c>
      <c r="C395" s="13" t="s">
        <v>231</v>
      </c>
      <c r="D395" s="29" t="s">
        <v>69</v>
      </c>
      <c r="E395" s="19">
        <v>4500</v>
      </c>
      <c r="F395" s="20"/>
      <c r="G395" s="29"/>
      <c r="H395" s="33"/>
      <c r="I395" s="29"/>
      <c r="J395" s="29" t="s">
        <v>67</v>
      </c>
      <c r="AA395" t="str">
        <f t="shared" si="6"/>
        <v>Rice</v>
      </c>
    </row>
    <row r="396" ht="30" customHeight="1" spans="1:27">
      <c r="A396" s="29" t="s">
        <v>25</v>
      </c>
      <c r="B396" s="29" t="s">
        <v>61</v>
      </c>
      <c r="C396" s="13" t="s">
        <v>231</v>
      </c>
      <c r="D396" s="29" t="s">
        <v>90</v>
      </c>
      <c r="E396" s="19"/>
      <c r="F396" s="20"/>
      <c r="G396" s="29"/>
      <c r="H396" s="33"/>
      <c r="I396" s="33"/>
      <c r="J396" s="29" t="s">
        <v>75</v>
      </c>
      <c r="AA396" t="str">
        <f t="shared" si="6"/>
        <v>Corn</v>
      </c>
    </row>
    <row r="397" ht="30" customHeight="1" spans="1:27">
      <c r="A397" s="29" t="s">
        <v>25</v>
      </c>
      <c r="B397" s="29" t="s">
        <v>61</v>
      </c>
      <c r="C397" s="13" t="s">
        <v>231</v>
      </c>
      <c r="D397" s="29" t="s">
        <v>70</v>
      </c>
      <c r="E397" s="23">
        <v>87883.2269</v>
      </c>
      <c r="F397" s="20"/>
      <c r="G397" s="29"/>
      <c r="H397" s="33"/>
      <c r="I397" s="29"/>
      <c r="J397" s="29" t="s">
        <v>64</v>
      </c>
      <c r="AA397" t="str">
        <f t="shared" si="6"/>
        <v>Rice</v>
      </c>
    </row>
    <row r="398" ht="30" customHeight="1" spans="1:27">
      <c r="A398" s="29" t="s">
        <v>25</v>
      </c>
      <c r="B398" s="29" t="s">
        <v>61</v>
      </c>
      <c r="C398" s="13" t="s">
        <v>231</v>
      </c>
      <c r="D398" s="29" t="s">
        <v>71</v>
      </c>
      <c r="E398" s="23">
        <v>5812.7318</v>
      </c>
      <c r="F398" s="20"/>
      <c r="G398" s="29"/>
      <c r="H398" s="33"/>
      <c r="I398" s="29"/>
      <c r="J398" s="29" t="s">
        <v>64</v>
      </c>
      <c r="AA398" t="str">
        <f t="shared" si="6"/>
        <v>Rice</v>
      </c>
    </row>
    <row r="399" ht="30" customHeight="1" spans="1:27">
      <c r="A399" s="29" t="s">
        <v>25</v>
      </c>
      <c r="B399" s="29" t="s">
        <v>61</v>
      </c>
      <c r="C399" s="13" t="s">
        <v>231</v>
      </c>
      <c r="D399" s="29" t="s">
        <v>234</v>
      </c>
      <c r="E399" s="19">
        <v>2000</v>
      </c>
      <c r="F399" s="20"/>
      <c r="G399" s="29"/>
      <c r="H399" s="33"/>
      <c r="I399" s="29"/>
      <c r="J399" s="29" t="s">
        <v>67</v>
      </c>
      <c r="AA399" t="str">
        <f t="shared" si="6"/>
        <v>Rice</v>
      </c>
    </row>
    <row r="400" ht="30" customHeight="1" spans="1:27">
      <c r="A400" s="29" t="s">
        <v>25</v>
      </c>
      <c r="B400" s="29" t="s">
        <v>61</v>
      </c>
      <c r="C400" s="13" t="s">
        <v>231</v>
      </c>
      <c r="D400" s="29" t="s">
        <v>74</v>
      </c>
      <c r="E400" s="19"/>
      <c r="F400" s="20"/>
      <c r="G400" s="29"/>
      <c r="H400" s="33"/>
      <c r="I400" s="29"/>
      <c r="J400" s="29" t="s">
        <v>75</v>
      </c>
      <c r="AA400" t="str">
        <f t="shared" si="6"/>
        <v>Corn</v>
      </c>
    </row>
    <row r="401" ht="30" customHeight="1" spans="1:27">
      <c r="A401" s="29" t="s">
        <v>25</v>
      </c>
      <c r="B401" s="29" t="s">
        <v>61</v>
      </c>
      <c r="C401" s="13" t="s">
        <v>235</v>
      </c>
      <c r="D401" s="29" t="s">
        <v>112</v>
      </c>
      <c r="E401" s="19">
        <v>2100</v>
      </c>
      <c r="F401" s="20"/>
      <c r="G401" s="29"/>
      <c r="H401" s="33"/>
      <c r="I401" s="29"/>
      <c r="J401" s="29" t="s">
        <v>96</v>
      </c>
      <c r="AA401" t="str">
        <f t="shared" si="6"/>
        <v>Corn</v>
      </c>
    </row>
    <row r="402" ht="30" customHeight="1" spans="1:27">
      <c r="A402" s="29" t="s">
        <v>25</v>
      </c>
      <c r="B402" s="29" t="s">
        <v>61</v>
      </c>
      <c r="C402" s="13" t="s">
        <v>235</v>
      </c>
      <c r="D402" s="29" t="s">
        <v>114</v>
      </c>
      <c r="E402" s="19">
        <v>2100</v>
      </c>
      <c r="F402" s="20"/>
      <c r="G402" s="29"/>
      <c r="H402" s="33"/>
      <c r="I402" s="29"/>
      <c r="J402" s="29" t="s">
        <v>75</v>
      </c>
      <c r="AA402" t="str">
        <f t="shared" si="6"/>
        <v>Corn</v>
      </c>
    </row>
    <row r="403" ht="30" customHeight="1" spans="1:27">
      <c r="A403" s="29" t="s">
        <v>25</v>
      </c>
      <c r="B403" s="29" t="s">
        <v>61</v>
      </c>
      <c r="C403" s="13" t="s">
        <v>235</v>
      </c>
      <c r="D403" s="29" t="s">
        <v>116</v>
      </c>
      <c r="E403" s="19">
        <v>3200</v>
      </c>
      <c r="F403" s="20"/>
      <c r="G403" s="29"/>
      <c r="H403" s="33"/>
      <c r="I403" s="29"/>
      <c r="J403" s="29" t="s">
        <v>96</v>
      </c>
      <c r="AA403" t="str">
        <f t="shared" si="6"/>
        <v>Corn</v>
      </c>
    </row>
    <row r="404" ht="30" customHeight="1" spans="1:27">
      <c r="A404" s="29" t="s">
        <v>25</v>
      </c>
      <c r="B404" s="29" t="s">
        <v>61</v>
      </c>
      <c r="C404" s="13" t="s">
        <v>235</v>
      </c>
      <c r="D404" s="29" t="s">
        <v>117</v>
      </c>
      <c r="E404" s="19">
        <v>3100</v>
      </c>
      <c r="F404" s="20"/>
      <c r="G404" s="29"/>
      <c r="H404" s="33"/>
      <c r="I404" s="29"/>
      <c r="J404" s="29" t="s">
        <v>75</v>
      </c>
      <c r="AA404" t="str">
        <f t="shared" si="6"/>
        <v>Corn</v>
      </c>
    </row>
    <row r="405" spans="1:27">
      <c r="A405" s="29" t="s">
        <v>25</v>
      </c>
      <c r="B405" s="29" t="s">
        <v>61</v>
      </c>
      <c r="C405" s="13" t="s">
        <v>235</v>
      </c>
      <c r="D405" s="29" t="s">
        <v>90</v>
      </c>
      <c r="E405" s="19"/>
      <c r="F405" s="20"/>
      <c r="G405" s="29"/>
      <c r="H405" s="33"/>
      <c r="I405" s="33"/>
      <c r="J405" s="29" t="s">
        <v>75</v>
      </c>
      <c r="AA405" t="str">
        <f t="shared" si="6"/>
        <v>Corn</v>
      </c>
    </row>
    <row r="406" ht="30" spans="1:27">
      <c r="A406" s="29" t="s">
        <v>25</v>
      </c>
      <c r="B406" s="29" t="s">
        <v>61</v>
      </c>
      <c r="C406" s="13" t="s">
        <v>235</v>
      </c>
      <c r="D406" s="29" t="s">
        <v>94</v>
      </c>
      <c r="E406" s="19">
        <v>2000</v>
      </c>
      <c r="F406" s="20"/>
      <c r="G406" s="29"/>
      <c r="H406" s="33"/>
      <c r="I406" s="29"/>
      <c r="J406" s="29" t="s">
        <v>75</v>
      </c>
      <c r="AA406" t="str">
        <f t="shared" si="6"/>
        <v>Corn</v>
      </c>
    </row>
    <row r="407" ht="30" customHeight="1" spans="1:27">
      <c r="A407" s="29" t="s">
        <v>25</v>
      </c>
      <c r="B407" s="29" t="s">
        <v>61</v>
      </c>
      <c r="C407" s="13" t="s">
        <v>235</v>
      </c>
      <c r="D407" s="29" t="s">
        <v>95</v>
      </c>
      <c r="E407" s="19">
        <v>1000</v>
      </c>
      <c r="F407" s="20"/>
      <c r="G407" s="29"/>
      <c r="H407" s="33"/>
      <c r="I407" s="29"/>
      <c r="J407" s="29" t="s">
        <v>96</v>
      </c>
      <c r="AA407" t="str">
        <f t="shared" si="6"/>
        <v>Corn</v>
      </c>
    </row>
    <row r="408" ht="30" customHeight="1" spans="1:27">
      <c r="A408" s="29" t="s">
        <v>25</v>
      </c>
      <c r="B408" s="29" t="s">
        <v>61</v>
      </c>
      <c r="C408" s="13" t="s">
        <v>235</v>
      </c>
      <c r="D408" s="29" t="s">
        <v>74</v>
      </c>
      <c r="E408" s="19"/>
      <c r="F408" s="20"/>
      <c r="G408" s="29"/>
      <c r="H408" s="33"/>
      <c r="I408" s="29"/>
      <c r="J408" s="29" t="s">
        <v>75</v>
      </c>
      <c r="AA408" t="str">
        <f t="shared" si="6"/>
        <v>Corn</v>
      </c>
    </row>
    <row r="409" ht="30" customHeight="1" spans="1:27">
      <c r="A409" s="29" t="s">
        <v>25</v>
      </c>
      <c r="B409" s="29" t="s">
        <v>236</v>
      </c>
      <c r="C409" s="13" t="s">
        <v>237</v>
      </c>
      <c r="D409" s="30" t="s">
        <v>238</v>
      </c>
      <c r="E409" s="19">
        <v>15000</v>
      </c>
      <c r="F409" s="20"/>
      <c r="G409" s="29"/>
      <c r="H409" s="29"/>
      <c r="I409" s="29"/>
      <c r="J409" s="29" t="s">
        <v>29</v>
      </c>
      <c r="AA409" t="str">
        <f t="shared" si="6"/>
        <v>Farm-to-Market Road</v>
      </c>
    </row>
    <row r="410" ht="30" customHeight="1" spans="1:27">
      <c r="A410" s="29" t="s">
        <v>25</v>
      </c>
      <c r="B410" s="29" t="s">
        <v>236</v>
      </c>
      <c r="C410" s="13" t="s">
        <v>237</v>
      </c>
      <c r="D410" s="30" t="s">
        <v>239</v>
      </c>
      <c r="E410" s="19"/>
      <c r="F410" s="20">
        <v>15000</v>
      </c>
      <c r="G410" s="29"/>
      <c r="H410" s="29"/>
      <c r="I410" s="29"/>
      <c r="J410" s="29" t="s">
        <v>29</v>
      </c>
      <c r="AA410" t="str">
        <f t="shared" si="6"/>
        <v>Farm-to-Market Road</v>
      </c>
    </row>
    <row r="411" ht="30" customHeight="1" spans="1:27">
      <c r="A411" s="29" t="s">
        <v>25</v>
      </c>
      <c r="B411" s="29" t="s">
        <v>236</v>
      </c>
      <c r="C411" s="13" t="s">
        <v>237</v>
      </c>
      <c r="D411" s="29" t="s">
        <v>240</v>
      </c>
      <c r="E411" s="23">
        <v>30242.2136</v>
      </c>
      <c r="F411" s="24">
        <v>2776.5019</v>
      </c>
      <c r="G411" s="29"/>
      <c r="H411" s="33"/>
      <c r="I411" s="33"/>
      <c r="J411" s="29" t="s">
        <v>64</v>
      </c>
      <c r="AA411" t="str">
        <f t="shared" si="6"/>
        <v>Rice</v>
      </c>
    </row>
    <row r="412" ht="45" customHeight="1" spans="1:27">
      <c r="A412" s="29" t="s">
        <v>25</v>
      </c>
      <c r="B412" s="29" t="s">
        <v>236</v>
      </c>
      <c r="C412" s="13" t="s">
        <v>237</v>
      </c>
      <c r="D412" s="29" t="s">
        <v>70</v>
      </c>
      <c r="E412" s="23">
        <v>136089.9611</v>
      </c>
      <c r="F412" s="20"/>
      <c r="G412" s="29"/>
      <c r="H412" s="33"/>
      <c r="I412" s="29"/>
      <c r="J412" s="29" t="s">
        <v>64</v>
      </c>
      <c r="AA412" t="str">
        <f t="shared" si="6"/>
        <v>Rice</v>
      </c>
    </row>
    <row r="413" ht="30" customHeight="1" spans="1:27">
      <c r="A413" s="29" t="s">
        <v>25</v>
      </c>
      <c r="B413" s="29" t="s">
        <v>236</v>
      </c>
      <c r="C413" s="13" t="s">
        <v>237</v>
      </c>
      <c r="D413" s="29" t="s">
        <v>71</v>
      </c>
      <c r="E413" s="23">
        <v>8757.781</v>
      </c>
      <c r="F413" s="20"/>
      <c r="G413" s="29"/>
      <c r="H413" s="33"/>
      <c r="I413" s="29"/>
      <c r="J413" s="29" t="s">
        <v>64</v>
      </c>
      <c r="AA413" t="str">
        <f t="shared" si="6"/>
        <v>Rice</v>
      </c>
    </row>
    <row r="414" ht="30" spans="1:27">
      <c r="A414" s="29" t="s">
        <v>25</v>
      </c>
      <c r="B414" s="29" t="s">
        <v>236</v>
      </c>
      <c r="C414" s="13" t="s">
        <v>241</v>
      </c>
      <c r="D414" s="29" t="s">
        <v>125</v>
      </c>
      <c r="E414" s="19">
        <v>480</v>
      </c>
      <c r="F414" s="20"/>
      <c r="G414" s="29"/>
      <c r="H414" s="33"/>
      <c r="I414" s="29"/>
      <c r="J414" s="29" t="s">
        <v>75</v>
      </c>
      <c r="AA414" t="str">
        <f t="shared" si="6"/>
        <v>Corn</v>
      </c>
    </row>
    <row r="415" ht="45" spans="1:27">
      <c r="A415" s="29" t="s">
        <v>25</v>
      </c>
      <c r="B415" s="29" t="s">
        <v>236</v>
      </c>
      <c r="C415" s="13" t="s">
        <v>241</v>
      </c>
      <c r="D415" s="29" t="s">
        <v>242</v>
      </c>
      <c r="E415" s="19">
        <v>2700</v>
      </c>
      <c r="F415" s="20"/>
      <c r="G415" s="29"/>
      <c r="H415" s="33"/>
      <c r="I415" s="29"/>
      <c r="J415" s="29" t="s">
        <v>80</v>
      </c>
      <c r="AA415" t="str">
        <f t="shared" si="6"/>
        <v>Livestock (Cattle/Carabao/Swine/Poultry)</v>
      </c>
    </row>
    <row r="416" ht="30" spans="1:27">
      <c r="A416" s="29" t="s">
        <v>25</v>
      </c>
      <c r="B416" s="29" t="s">
        <v>236</v>
      </c>
      <c r="C416" s="13" t="s">
        <v>241</v>
      </c>
      <c r="D416" s="30" t="s">
        <v>243</v>
      </c>
      <c r="E416" s="19"/>
      <c r="F416" s="20">
        <v>36000</v>
      </c>
      <c r="G416" s="29"/>
      <c r="H416" s="29"/>
      <c r="I416" s="29"/>
      <c r="J416" s="29" t="s">
        <v>29</v>
      </c>
      <c r="AA416" t="str">
        <f t="shared" si="6"/>
        <v>Farm-to-Market Road</v>
      </c>
    </row>
    <row r="417" ht="30" customHeight="1" spans="1:27">
      <c r="A417" s="29" t="s">
        <v>25</v>
      </c>
      <c r="B417" s="29" t="s">
        <v>236</v>
      </c>
      <c r="C417" s="13" t="s">
        <v>241</v>
      </c>
      <c r="D417" s="29" t="s">
        <v>133</v>
      </c>
      <c r="E417" s="19">
        <v>2000</v>
      </c>
      <c r="F417" s="20"/>
      <c r="G417" s="29"/>
      <c r="H417" s="33"/>
      <c r="I417" s="29"/>
      <c r="J417" s="29" t="s">
        <v>134</v>
      </c>
      <c r="AA417" t="str">
        <f t="shared" si="6"/>
        <v>High Value Export Crops (Dragon Fruit/Ube/Okra/Banana)</v>
      </c>
    </row>
    <row r="418" ht="30" customHeight="1" spans="1:27">
      <c r="A418" s="29" t="s">
        <v>25</v>
      </c>
      <c r="B418" s="29" t="s">
        <v>236</v>
      </c>
      <c r="C418" s="13" t="s">
        <v>241</v>
      </c>
      <c r="D418" s="29" t="s">
        <v>240</v>
      </c>
      <c r="E418" s="23">
        <v>10899.7456</v>
      </c>
      <c r="F418" s="24">
        <v>1000.6928</v>
      </c>
      <c r="G418" s="29"/>
      <c r="H418" s="33"/>
      <c r="I418" s="33"/>
      <c r="J418" s="29" t="s">
        <v>64</v>
      </c>
      <c r="AA418" t="str">
        <f t="shared" si="6"/>
        <v>Rice</v>
      </c>
    </row>
    <row r="419" spans="1:27">
      <c r="A419" s="29" t="s">
        <v>25</v>
      </c>
      <c r="B419" s="29" t="s">
        <v>236</v>
      </c>
      <c r="C419" s="13" t="s">
        <v>241</v>
      </c>
      <c r="D419" s="29" t="s">
        <v>90</v>
      </c>
      <c r="E419" s="19">
        <v>1378</v>
      </c>
      <c r="F419" s="20">
        <v>18109</v>
      </c>
      <c r="G419" s="29"/>
      <c r="H419" s="33"/>
      <c r="I419" s="33"/>
      <c r="J419" s="29" t="s">
        <v>75</v>
      </c>
      <c r="AA419" t="str">
        <f t="shared" si="6"/>
        <v>Corn</v>
      </c>
    </row>
    <row r="420" ht="30" spans="1:27">
      <c r="A420" s="29" t="s">
        <v>25</v>
      </c>
      <c r="B420" s="29" t="s">
        <v>236</v>
      </c>
      <c r="C420" s="13" t="s">
        <v>241</v>
      </c>
      <c r="D420" s="29" t="s">
        <v>70</v>
      </c>
      <c r="E420" s="23">
        <v>49048.8554</v>
      </c>
      <c r="F420" s="20"/>
      <c r="G420" s="29"/>
      <c r="H420" s="33"/>
      <c r="I420" s="29"/>
      <c r="J420" s="29" t="s">
        <v>64</v>
      </c>
      <c r="AA420" t="str">
        <f t="shared" si="6"/>
        <v>Rice</v>
      </c>
    </row>
    <row r="421" ht="30" customHeight="1" spans="1:27">
      <c r="A421" s="29" t="s">
        <v>25</v>
      </c>
      <c r="B421" s="29" t="s">
        <v>236</v>
      </c>
      <c r="C421" s="13" t="s">
        <v>241</v>
      </c>
      <c r="D421" s="29" t="s">
        <v>71</v>
      </c>
      <c r="E421" s="23">
        <v>3156.4351</v>
      </c>
      <c r="F421" s="20"/>
      <c r="G421" s="29"/>
      <c r="H421" s="33"/>
      <c r="I421" s="29"/>
      <c r="J421" s="29" t="s">
        <v>64</v>
      </c>
      <c r="AA421" t="str">
        <f t="shared" si="6"/>
        <v>Rice</v>
      </c>
    </row>
    <row r="422" spans="1:27">
      <c r="A422" s="29" t="s">
        <v>25</v>
      </c>
      <c r="B422" s="29" t="s">
        <v>236</v>
      </c>
      <c r="C422" s="13" t="s">
        <v>241</v>
      </c>
      <c r="D422" s="29" t="s">
        <v>92</v>
      </c>
      <c r="E422" s="19">
        <v>106.25</v>
      </c>
      <c r="F422" s="20"/>
      <c r="G422" s="29"/>
      <c r="H422" s="33"/>
      <c r="I422" s="29"/>
      <c r="J422" s="29" t="s">
        <v>35</v>
      </c>
      <c r="AA422" t="str">
        <f t="shared" si="6"/>
        <v>High Value Crops (Vegetables/Fruits/Rootcrops)</v>
      </c>
    </row>
    <row r="423" ht="30" customHeight="1" spans="1:27">
      <c r="A423" s="29" t="s">
        <v>25</v>
      </c>
      <c r="B423" s="29" t="s">
        <v>236</v>
      </c>
      <c r="C423" s="13" t="s">
        <v>241</v>
      </c>
      <c r="D423" s="29" t="s">
        <v>127</v>
      </c>
      <c r="E423" s="19">
        <v>220</v>
      </c>
      <c r="F423" s="20"/>
      <c r="G423" s="29"/>
      <c r="H423" s="33"/>
      <c r="I423" s="29"/>
      <c r="J423" s="29" t="s">
        <v>75</v>
      </c>
      <c r="AA423" t="str">
        <f t="shared" si="6"/>
        <v>Corn</v>
      </c>
    </row>
    <row r="424" ht="30" customHeight="1" spans="1:27">
      <c r="A424" s="29" t="s">
        <v>25</v>
      </c>
      <c r="B424" s="29" t="s">
        <v>236</v>
      </c>
      <c r="C424" s="13" t="s">
        <v>241</v>
      </c>
      <c r="D424" s="29" t="s">
        <v>244</v>
      </c>
      <c r="E424" s="19">
        <v>400</v>
      </c>
      <c r="F424" s="20"/>
      <c r="G424" s="29"/>
      <c r="H424" s="33"/>
      <c r="I424" s="29"/>
      <c r="J424" s="29" t="s">
        <v>75</v>
      </c>
      <c r="AA424" t="str">
        <f t="shared" si="6"/>
        <v>Corn</v>
      </c>
    </row>
    <row r="425" ht="30" customHeight="1" spans="1:27">
      <c r="A425" s="29" t="s">
        <v>25</v>
      </c>
      <c r="B425" s="29" t="s">
        <v>236</v>
      </c>
      <c r="C425" s="13" t="s">
        <v>241</v>
      </c>
      <c r="D425" s="29" t="s">
        <v>36</v>
      </c>
      <c r="E425" s="19">
        <v>250</v>
      </c>
      <c r="F425" s="20"/>
      <c r="G425" s="29"/>
      <c r="H425" s="33"/>
      <c r="I425" s="29"/>
      <c r="J425" s="29" t="s">
        <v>35</v>
      </c>
      <c r="AA425" t="str">
        <f t="shared" si="6"/>
        <v>High Value Crops (Vegetables/Fruits/Rootcrops)</v>
      </c>
    </row>
    <row r="426" ht="30" customHeight="1" spans="1:27">
      <c r="A426" s="29" t="s">
        <v>25</v>
      </c>
      <c r="B426" s="29" t="s">
        <v>236</v>
      </c>
      <c r="C426" s="13" t="s">
        <v>241</v>
      </c>
      <c r="D426" s="29" t="s">
        <v>74</v>
      </c>
      <c r="E426" s="19">
        <v>1590</v>
      </c>
      <c r="F426" s="20"/>
      <c r="G426" s="29"/>
      <c r="H426" s="33"/>
      <c r="I426" s="29"/>
      <c r="J426" s="29" t="s">
        <v>75</v>
      </c>
      <c r="AA426" t="str">
        <f t="shared" si="6"/>
        <v>Corn</v>
      </c>
    </row>
    <row r="427" ht="30" customHeight="1" spans="1:27">
      <c r="A427" s="29" t="s">
        <v>25</v>
      </c>
      <c r="B427" s="29" t="s">
        <v>236</v>
      </c>
      <c r="C427" s="13" t="s">
        <v>245</v>
      </c>
      <c r="D427" s="29" t="s">
        <v>77</v>
      </c>
      <c r="E427" s="19">
        <v>1800</v>
      </c>
      <c r="F427" s="20"/>
      <c r="G427" s="29"/>
      <c r="H427" s="33"/>
      <c r="I427" s="29"/>
      <c r="J427" s="29" t="s">
        <v>75</v>
      </c>
      <c r="AA427" t="str">
        <f t="shared" si="6"/>
        <v>Corn</v>
      </c>
    </row>
    <row r="428" ht="30" customHeight="1" spans="1:27">
      <c r="A428" s="29" t="s">
        <v>25</v>
      </c>
      <c r="B428" s="29" t="s">
        <v>236</v>
      </c>
      <c r="C428" s="13" t="s">
        <v>245</v>
      </c>
      <c r="D428" s="29" t="s">
        <v>246</v>
      </c>
      <c r="E428" s="19">
        <v>360</v>
      </c>
      <c r="F428" s="20"/>
      <c r="G428" s="29"/>
      <c r="H428" s="33"/>
      <c r="I428" s="29"/>
      <c r="J428" s="29" t="s">
        <v>75</v>
      </c>
      <c r="AA428" t="str">
        <f t="shared" si="6"/>
        <v>Corn</v>
      </c>
    </row>
    <row r="429" ht="30" customHeight="1" spans="1:27">
      <c r="A429" s="29" t="s">
        <v>25</v>
      </c>
      <c r="B429" s="29" t="s">
        <v>236</v>
      </c>
      <c r="C429" s="13" t="s">
        <v>245</v>
      </c>
      <c r="D429" s="30" t="s">
        <v>247</v>
      </c>
      <c r="E429" s="19">
        <v>15000</v>
      </c>
      <c r="F429" s="20"/>
      <c r="G429" s="29"/>
      <c r="H429" s="29"/>
      <c r="I429" s="29"/>
      <c r="J429" s="29" t="s">
        <v>29</v>
      </c>
      <c r="AA429" t="str">
        <f t="shared" si="6"/>
        <v>Farm-to-Market Road</v>
      </c>
    </row>
    <row r="430" ht="45" customHeight="1" spans="1:27">
      <c r="A430" s="29" t="s">
        <v>25</v>
      </c>
      <c r="B430" s="29" t="s">
        <v>236</v>
      </c>
      <c r="C430" s="13" t="s">
        <v>245</v>
      </c>
      <c r="D430" s="29" t="s">
        <v>248</v>
      </c>
      <c r="E430" s="19">
        <v>900</v>
      </c>
      <c r="F430" s="20"/>
      <c r="G430" s="29"/>
      <c r="H430" s="33"/>
      <c r="I430" s="29"/>
      <c r="J430" s="29" t="s">
        <v>96</v>
      </c>
      <c r="AA430" t="str">
        <f t="shared" si="6"/>
        <v>Corn</v>
      </c>
    </row>
    <row r="431" ht="30" customHeight="1" spans="1:27">
      <c r="A431" s="29" t="s">
        <v>25</v>
      </c>
      <c r="B431" s="29" t="s">
        <v>236</v>
      </c>
      <c r="C431" s="13" t="s">
        <v>245</v>
      </c>
      <c r="D431" s="29" t="s">
        <v>240</v>
      </c>
      <c r="E431" s="23">
        <v>6825.5716</v>
      </c>
      <c r="F431" s="24">
        <v>626.6477</v>
      </c>
      <c r="G431" s="29"/>
      <c r="H431" s="33"/>
      <c r="I431" s="33"/>
      <c r="J431" s="29" t="s">
        <v>64</v>
      </c>
      <c r="AA431" t="str">
        <f t="shared" si="6"/>
        <v>Rice</v>
      </c>
    </row>
    <row r="432" ht="30" customHeight="1" spans="1:27">
      <c r="A432" s="29" t="s">
        <v>25</v>
      </c>
      <c r="B432" s="29" t="s">
        <v>236</v>
      </c>
      <c r="C432" s="13" t="s">
        <v>245</v>
      </c>
      <c r="D432" s="29" t="s">
        <v>90</v>
      </c>
      <c r="E432" s="19">
        <v>2314</v>
      </c>
      <c r="F432" s="20">
        <v>28483</v>
      </c>
      <c r="G432" s="29"/>
      <c r="H432" s="33"/>
      <c r="I432" s="33"/>
      <c r="J432" s="29" t="s">
        <v>75</v>
      </c>
      <c r="AA432" t="str">
        <f t="shared" si="6"/>
        <v>Corn</v>
      </c>
    </row>
    <row r="433" ht="30" customHeight="1" spans="1:27">
      <c r="A433" s="29" t="s">
        <v>25</v>
      </c>
      <c r="B433" s="29" t="s">
        <v>236</v>
      </c>
      <c r="C433" s="13" t="s">
        <v>245</v>
      </c>
      <c r="D433" s="29" t="s">
        <v>70</v>
      </c>
      <c r="E433" s="23">
        <v>30715.0723</v>
      </c>
      <c r="F433" s="20"/>
      <c r="G433" s="29"/>
      <c r="H433" s="33"/>
      <c r="I433" s="29"/>
      <c r="J433" s="29" t="s">
        <v>64</v>
      </c>
      <c r="AA433" t="str">
        <f t="shared" si="6"/>
        <v>Rice</v>
      </c>
    </row>
    <row r="434" ht="30" customHeight="1" spans="1:27">
      <c r="A434" s="29" t="s">
        <v>25</v>
      </c>
      <c r="B434" s="29" t="s">
        <v>236</v>
      </c>
      <c r="C434" s="13" t="s">
        <v>245</v>
      </c>
      <c r="D434" s="29" t="s">
        <v>173</v>
      </c>
      <c r="E434" s="19"/>
      <c r="F434" s="20"/>
      <c r="G434" s="29"/>
      <c r="H434" s="33"/>
      <c r="I434" s="29"/>
      <c r="J434" s="29" t="s">
        <v>75</v>
      </c>
      <c r="AA434" t="str">
        <f t="shared" si="6"/>
        <v>Corn</v>
      </c>
    </row>
    <row r="435" ht="30" customHeight="1" spans="1:27">
      <c r="A435" s="29" t="s">
        <v>25</v>
      </c>
      <c r="B435" s="29" t="s">
        <v>236</v>
      </c>
      <c r="C435" s="13" t="s">
        <v>245</v>
      </c>
      <c r="D435" s="29" t="s">
        <v>91</v>
      </c>
      <c r="E435" s="19">
        <v>6600</v>
      </c>
      <c r="F435" s="20"/>
      <c r="G435" s="29"/>
      <c r="H435" s="33"/>
      <c r="I435" s="29"/>
      <c r="J435" s="29" t="s">
        <v>75</v>
      </c>
      <c r="AA435" t="str">
        <f t="shared" si="6"/>
        <v>Corn</v>
      </c>
    </row>
    <row r="436" ht="30" customHeight="1" spans="1:27">
      <c r="A436" s="29" t="s">
        <v>25</v>
      </c>
      <c r="B436" s="29" t="s">
        <v>236</v>
      </c>
      <c r="C436" s="13" t="s">
        <v>245</v>
      </c>
      <c r="D436" s="29" t="s">
        <v>71</v>
      </c>
      <c r="E436" s="23">
        <v>1976.6034</v>
      </c>
      <c r="F436" s="20"/>
      <c r="G436" s="29"/>
      <c r="H436" s="33"/>
      <c r="I436" s="29"/>
      <c r="J436" s="29" t="s">
        <v>64</v>
      </c>
      <c r="AA436" t="str">
        <f t="shared" si="6"/>
        <v>Rice</v>
      </c>
    </row>
    <row r="437" spans="1:27">
      <c r="A437" s="29" t="s">
        <v>25</v>
      </c>
      <c r="B437" s="29" t="s">
        <v>236</v>
      </c>
      <c r="C437" s="13" t="s">
        <v>245</v>
      </c>
      <c r="D437" s="29" t="s">
        <v>72</v>
      </c>
      <c r="E437" s="19">
        <v>1330.82</v>
      </c>
      <c r="F437" s="20"/>
      <c r="G437" s="29"/>
      <c r="H437" s="33"/>
      <c r="I437" s="29"/>
      <c r="J437" s="29" t="s">
        <v>35</v>
      </c>
      <c r="AA437" t="str">
        <f t="shared" si="6"/>
        <v>High Value Crops (Vegetables/Fruits/Rootcrops)</v>
      </c>
    </row>
    <row r="438" spans="1:27">
      <c r="A438" s="29" t="s">
        <v>25</v>
      </c>
      <c r="B438" s="29" t="s">
        <v>236</v>
      </c>
      <c r="C438" s="13" t="s">
        <v>245</v>
      </c>
      <c r="D438" s="29" t="s">
        <v>98</v>
      </c>
      <c r="E438" s="19">
        <v>333.8757</v>
      </c>
      <c r="F438" s="20"/>
      <c r="G438" s="29"/>
      <c r="H438" s="33"/>
      <c r="I438" s="29"/>
      <c r="J438" s="29" t="s">
        <v>35</v>
      </c>
      <c r="AA438" t="str">
        <f t="shared" si="6"/>
        <v>High Value Crops (Vegetables/Fruits/Rootcrops)</v>
      </c>
    </row>
    <row r="439" ht="30" spans="1:27">
      <c r="A439" s="29" t="s">
        <v>25</v>
      </c>
      <c r="B439" s="29" t="s">
        <v>236</v>
      </c>
      <c r="C439" s="13" t="s">
        <v>245</v>
      </c>
      <c r="D439" s="29" t="s">
        <v>99</v>
      </c>
      <c r="E439" s="19">
        <v>14610</v>
      </c>
      <c r="F439" s="20"/>
      <c r="G439" s="29"/>
      <c r="H439" s="33"/>
      <c r="I439" s="29"/>
      <c r="J439" s="29" t="s">
        <v>75</v>
      </c>
      <c r="AA439" t="str">
        <f t="shared" si="6"/>
        <v>Corn</v>
      </c>
    </row>
    <row r="440" spans="1:27">
      <c r="A440" s="29" t="s">
        <v>25</v>
      </c>
      <c r="B440" s="29" t="s">
        <v>236</v>
      </c>
      <c r="C440" s="13" t="s">
        <v>245</v>
      </c>
      <c r="D440" s="29" t="s">
        <v>36</v>
      </c>
      <c r="E440" s="19">
        <v>3225</v>
      </c>
      <c r="F440" s="20"/>
      <c r="G440" s="29"/>
      <c r="H440" s="33"/>
      <c r="I440" s="29"/>
      <c r="J440" s="29" t="s">
        <v>35</v>
      </c>
      <c r="AA440" t="str">
        <f t="shared" si="6"/>
        <v>High Value Crops (Vegetables/Fruits/Rootcrops)</v>
      </c>
    </row>
    <row r="441" ht="30" spans="1:27">
      <c r="A441" s="29" t="s">
        <v>25</v>
      </c>
      <c r="B441" s="29" t="s">
        <v>236</v>
      </c>
      <c r="C441" s="13" t="s">
        <v>245</v>
      </c>
      <c r="D441" s="29" t="s">
        <v>249</v>
      </c>
      <c r="E441" s="19">
        <v>500</v>
      </c>
      <c r="F441" s="20"/>
      <c r="G441" s="29"/>
      <c r="H441" s="33"/>
      <c r="I441" s="29"/>
      <c r="J441" s="29" t="s">
        <v>75</v>
      </c>
      <c r="AA441" t="str">
        <f t="shared" si="6"/>
        <v>Corn</v>
      </c>
    </row>
    <row r="442" ht="45" customHeight="1" spans="1:27">
      <c r="A442" s="29" t="s">
        <v>25</v>
      </c>
      <c r="B442" s="29" t="s">
        <v>236</v>
      </c>
      <c r="C442" s="13" t="s">
        <v>245</v>
      </c>
      <c r="D442" s="29" t="s">
        <v>250</v>
      </c>
      <c r="E442" s="19">
        <v>900</v>
      </c>
      <c r="F442" s="20"/>
      <c r="G442" s="29"/>
      <c r="H442" s="33"/>
      <c r="I442" s="29"/>
      <c r="J442" s="29" t="s">
        <v>75</v>
      </c>
      <c r="AA442" t="str">
        <f t="shared" si="6"/>
        <v>Corn</v>
      </c>
    </row>
    <row r="443" ht="30" customHeight="1" spans="1:27">
      <c r="A443" s="29" t="s">
        <v>25</v>
      </c>
      <c r="B443" s="29" t="s">
        <v>236</v>
      </c>
      <c r="C443" s="13" t="s">
        <v>245</v>
      </c>
      <c r="D443" s="29" t="s">
        <v>74</v>
      </c>
      <c r="E443" s="19"/>
      <c r="F443" s="20"/>
      <c r="G443" s="29"/>
      <c r="H443" s="33"/>
      <c r="I443" s="29"/>
      <c r="J443" s="29" t="s">
        <v>75</v>
      </c>
      <c r="AA443" t="str">
        <f t="shared" si="6"/>
        <v>Corn</v>
      </c>
    </row>
    <row r="444" ht="30" customHeight="1" spans="1:27">
      <c r="A444" s="29" t="s">
        <v>25</v>
      </c>
      <c r="B444" s="29" t="s">
        <v>236</v>
      </c>
      <c r="C444" s="13" t="s">
        <v>251</v>
      </c>
      <c r="D444" s="29" t="s">
        <v>252</v>
      </c>
      <c r="E444" s="19">
        <v>800</v>
      </c>
      <c r="F444" s="20"/>
      <c r="G444" s="29"/>
      <c r="H444" s="33"/>
      <c r="I444" s="29"/>
      <c r="J444" s="29" t="s">
        <v>75</v>
      </c>
      <c r="AA444" t="str">
        <f t="shared" si="6"/>
        <v>Corn</v>
      </c>
    </row>
    <row r="445" ht="30" customHeight="1" spans="1:27">
      <c r="A445" s="29" t="s">
        <v>25</v>
      </c>
      <c r="B445" s="29" t="s">
        <v>236</v>
      </c>
      <c r="C445" s="13" t="s">
        <v>251</v>
      </c>
      <c r="D445" s="29" t="s">
        <v>125</v>
      </c>
      <c r="E445" s="19">
        <v>720</v>
      </c>
      <c r="F445" s="20"/>
      <c r="G445" s="29"/>
      <c r="H445" s="33"/>
      <c r="I445" s="29"/>
      <c r="J445" s="29" t="s">
        <v>75</v>
      </c>
      <c r="AA445" t="str">
        <f t="shared" si="6"/>
        <v>Corn</v>
      </c>
    </row>
    <row r="446" ht="30" customHeight="1" spans="1:27">
      <c r="A446" s="29" t="s">
        <v>25</v>
      </c>
      <c r="B446" s="29" t="s">
        <v>236</v>
      </c>
      <c r="C446" s="13" t="s">
        <v>251</v>
      </c>
      <c r="D446" s="29" t="s">
        <v>112</v>
      </c>
      <c r="E446" s="19">
        <v>2100</v>
      </c>
      <c r="F446" s="20"/>
      <c r="G446" s="29"/>
      <c r="H446" s="33"/>
      <c r="I446" s="29"/>
      <c r="J446" s="29" t="s">
        <v>96</v>
      </c>
      <c r="AA446" t="str">
        <f t="shared" si="6"/>
        <v>Corn</v>
      </c>
    </row>
    <row r="447" spans="1:27">
      <c r="A447" s="29" t="s">
        <v>25</v>
      </c>
      <c r="B447" s="29" t="s">
        <v>236</v>
      </c>
      <c r="C447" s="13" t="s">
        <v>251</v>
      </c>
      <c r="D447" s="30" t="s">
        <v>253</v>
      </c>
      <c r="E447" s="19">
        <v>15000</v>
      </c>
      <c r="F447" s="20"/>
      <c r="G447" s="29"/>
      <c r="H447" s="29"/>
      <c r="I447" s="29"/>
      <c r="J447" s="29" t="s">
        <v>29</v>
      </c>
      <c r="AA447" t="str">
        <f t="shared" si="6"/>
        <v>Farm-to-Market Road</v>
      </c>
    </row>
    <row r="448" ht="30" customHeight="1" spans="1:27">
      <c r="A448" s="29" t="s">
        <v>25</v>
      </c>
      <c r="B448" s="29" t="s">
        <v>236</v>
      </c>
      <c r="C448" s="13" t="s">
        <v>251</v>
      </c>
      <c r="D448" s="29" t="s">
        <v>114</v>
      </c>
      <c r="E448" s="19">
        <v>2100</v>
      </c>
      <c r="F448" s="20"/>
      <c r="G448" s="29"/>
      <c r="H448" s="33"/>
      <c r="I448" s="29"/>
      <c r="J448" s="29" t="s">
        <v>75</v>
      </c>
      <c r="AA448" t="str">
        <f t="shared" si="6"/>
        <v>Corn</v>
      </c>
    </row>
    <row r="449" ht="30" customHeight="1" spans="1:27">
      <c r="A449" s="29" t="s">
        <v>25</v>
      </c>
      <c r="B449" s="29" t="s">
        <v>236</v>
      </c>
      <c r="C449" s="13" t="s">
        <v>251</v>
      </c>
      <c r="D449" s="29" t="s">
        <v>248</v>
      </c>
      <c r="E449" s="19">
        <v>900</v>
      </c>
      <c r="F449" s="20"/>
      <c r="G449" s="29"/>
      <c r="H449" s="33"/>
      <c r="I449" s="29"/>
      <c r="J449" s="29" t="s">
        <v>96</v>
      </c>
      <c r="AA449" t="str">
        <f t="shared" si="6"/>
        <v>Corn</v>
      </c>
    </row>
    <row r="450" ht="30" customHeight="1" spans="1:27">
      <c r="A450" s="29" t="s">
        <v>25</v>
      </c>
      <c r="B450" s="29" t="s">
        <v>236</v>
      </c>
      <c r="C450" s="13" t="s">
        <v>251</v>
      </c>
      <c r="D450" s="29" t="s">
        <v>63</v>
      </c>
      <c r="E450" s="23">
        <v>3007.5294</v>
      </c>
      <c r="F450" s="24">
        <v>276.1177</v>
      </c>
      <c r="G450" s="29"/>
      <c r="H450" s="33"/>
      <c r="I450" s="33"/>
      <c r="J450" s="29" t="s">
        <v>64</v>
      </c>
      <c r="AA450" t="str">
        <f t="shared" si="6"/>
        <v>Rice</v>
      </c>
    </row>
    <row r="451" ht="30" customHeight="1" spans="1:27">
      <c r="A451" s="29" t="s">
        <v>25</v>
      </c>
      <c r="B451" s="29" t="s">
        <v>236</v>
      </c>
      <c r="C451" s="13" t="s">
        <v>251</v>
      </c>
      <c r="D451" s="29" t="s">
        <v>90</v>
      </c>
      <c r="E451" s="19">
        <v>4550</v>
      </c>
      <c r="F451" s="20">
        <v>60190</v>
      </c>
      <c r="G451" s="29"/>
      <c r="H451" s="33"/>
      <c r="I451" s="33"/>
      <c r="J451" s="29" t="s">
        <v>75</v>
      </c>
      <c r="AA451" t="str">
        <f t="shared" si="6"/>
        <v>Corn</v>
      </c>
    </row>
    <row r="452" ht="30" spans="1:27">
      <c r="A452" s="29" t="s">
        <v>25</v>
      </c>
      <c r="B452" s="29" t="s">
        <v>236</v>
      </c>
      <c r="C452" s="13" t="s">
        <v>251</v>
      </c>
      <c r="D452" s="29" t="s">
        <v>70</v>
      </c>
      <c r="E452" s="23">
        <v>13533.8824</v>
      </c>
      <c r="F452" s="20"/>
      <c r="G452" s="29"/>
      <c r="H452" s="33"/>
      <c r="I452" s="29"/>
      <c r="J452" s="29" t="s">
        <v>64</v>
      </c>
      <c r="AA452" t="str">
        <f t="shared" si="6"/>
        <v>Rice</v>
      </c>
    </row>
    <row r="453" ht="30" spans="1:27">
      <c r="A453" s="29" t="s">
        <v>25</v>
      </c>
      <c r="B453" s="29" t="s">
        <v>236</v>
      </c>
      <c r="C453" s="13" t="s">
        <v>251</v>
      </c>
      <c r="D453" s="29" t="s">
        <v>71</v>
      </c>
      <c r="E453" s="23">
        <v>870.9443</v>
      </c>
      <c r="F453" s="20"/>
      <c r="G453" s="29"/>
      <c r="H453" s="33"/>
      <c r="I453" s="29"/>
      <c r="J453" s="29" t="s">
        <v>64</v>
      </c>
      <c r="AA453" t="str">
        <f t="shared" si="6"/>
        <v>Rice</v>
      </c>
    </row>
    <row r="454" ht="30" customHeight="1" spans="1:27">
      <c r="A454" s="29" t="s">
        <v>25</v>
      </c>
      <c r="B454" s="29" t="s">
        <v>236</v>
      </c>
      <c r="C454" s="13" t="s">
        <v>251</v>
      </c>
      <c r="D454" s="29" t="s">
        <v>119</v>
      </c>
      <c r="E454" s="19">
        <v>200</v>
      </c>
      <c r="F454" s="20"/>
      <c r="G454" s="29"/>
      <c r="H454" s="33"/>
      <c r="I454" s="29"/>
      <c r="J454" s="29" t="s">
        <v>96</v>
      </c>
      <c r="AA454" t="str">
        <f t="shared" si="6"/>
        <v>Corn</v>
      </c>
    </row>
    <row r="455" ht="30" customHeight="1" spans="1:27">
      <c r="A455" s="29" t="s">
        <v>25</v>
      </c>
      <c r="B455" s="29" t="s">
        <v>236</v>
      </c>
      <c r="C455" s="13" t="s">
        <v>251</v>
      </c>
      <c r="D455" s="29" t="s">
        <v>120</v>
      </c>
      <c r="E455" s="19">
        <v>200</v>
      </c>
      <c r="F455" s="20"/>
      <c r="G455" s="29"/>
      <c r="H455" s="33"/>
      <c r="I455" s="29"/>
      <c r="J455" s="29" t="s">
        <v>75</v>
      </c>
      <c r="AA455" t="str">
        <f t="shared" si="6"/>
        <v>Corn</v>
      </c>
    </row>
    <row r="456" ht="30" customHeight="1" spans="1:27">
      <c r="A456" s="29" t="s">
        <v>25</v>
      </c>
      <c r="B456" s="29" t="s">
        <v>236</v>
      </c>
      <c r="C456" s="13" t="s">
        <v>251</v>
      </c>
      <c r="D456" s="29" t="s">
        <v>94</v>
      </c>
      <c r="E456" s="19">
        <v>1000</v>
      </c>
      <c r="F456" s="20"/>
      <c r="G456" s="29"/>
      <c r="H456" s="33"/>
      <c r="I456" s="29"/>
      <c r="J456" s="29" t="s">
        <v>75</v>
      </c>
      <c r="AA456" t="str">
        <f t="shared" si="6"/>
        <v>Corn</v>
      </c>
    </row>
    <row r="457" ht="30" customHeight="1" spans="1:27">
      <c r="A457" s="29" t="s">
        <v>25</v>
      </c>
      <c r="B457" s="29" t="s">
        <v>236</v>
      </c>
      <c r="C457" s="13" t="s">
        <v>251</v>
      </c>
      <c r="D457" s="29" t="s">
        <v>95</v>
      </c>
      <c r="E457" s="19">
        <v>1000</v>
      </c>
      <c r="F457" s="20"/>
      <c r="G457" s="29"/>
      <c r="H457" s="33"/>
      <c r="I457" s="29"/>
      <c r="J457" s="29" t="s">
        <v>96</v>
      </c>
      <c r="AA457" t="str">
        <f t="shared" si="6"/>
        <v>Corn</v>
      </c>
    </row>
    <row r="458" ht="30" customHeight="1" spans="1:27">
      <c r="A458" s="29" t="s">
        <v>25</v>
      </c>
      <c r="B458" s="29" t="s">
        <v>236</v>
      </c>
      <c r="C458" s="13" t="s">
        <v>251</v>
      </c>
      <c r="D458" s="29" t="s">
        <v>121</v>
      </c>
      <c r="E458" s="19">
        <v>2500</v>
      </c>
      <c r="F458" s="20"/>
      <c r="G458" s="29"/>
      <c r="H458" s="33"/>
      <c r="I458" s="29"/>
      <c r="J458" s="29" t="s">
        <v>75</v>
      </c>
      <c r="AA458" t="str">
        <f t="shared" ref="AA458:AA521" si="7">_xlfn.IFS(J458="DA-FMRDP","Farm-to-Market Road",J458="DA-RFO2 RICE","Rice",J458="DA-RFO2 Rice Program","Rice",J458="DA-RFO2 CORN","Corn",J458="DA-RFO2 Corn Program","Corn",J458="DA-RFO2 HVCDP","High Value Crops (Vegetables/Fruits/Rootcrops)",J458="DA-RFO2 HVCDP Export","High Value Export Crops (Dragon Fruit/Ube/Okra/Banana)",J458="DA-RFO2 HVCDP Coffee","Coffee (HVCDP)",J458="DA-RFO2 LIVESTOCK","Livestock (Cattle/Carabao/Swine/Poultry)",J458="DA-RFO2 SAAD","Various Commodities (SAAD)",J458="DA-RFO2 4K","Various Commodities (4Ks)",J458="DA-RFO2 4KS","Various Commodities (4Ks)",J458="DA-RFO2 HALAL","Halal Food Products",J458="DA-RFO2 OAP","Organic Agriculture",J458="DA-RFO2 NUPAP","Vegetables (NUPAP/Urban Agri)",TRUE,IF(ISNUMBER(SEARCH("FMR",D458)),"Farm-to-Market Road",IF(ISNUMBER(SEARCH("RICE",D458)),"Rice",IF(ISNUMBER(SEARCH("CORN",D458)),"Corn",IF(ISNUMBER(SEARCH("HVCDP COFFEE",D458)),"Coffee (HVCDP)",IF(ISNUMBER(SEARCH("HVCDP EXPORT",D458)),"High Value Export Crops (Dragon Fruit/Ube/Okra/Banana)",IF(ISNUMBER(SEARCH("HVCDP",D458)),"High Value Crops (Vegetables/Fruits/Rootcrops)",IF(ISNUMBER(SEARCH("LIVESTOCK",D458)),"Livestock (Cattle/Carabao/Swine/Poultry)",IF(ISNUMBER(SEARCH("SAAD",D458)),"Various Commodities (SAAD)",IF(ISNUMBER(SEARCH("4KS",D458)),"Various Commodities (4Ks)",IF(ISNUMBER(SEARCH("4K",D458)),"Various Commodities (4Ks)",IF(ISNUMBER(SEARCH("HALAL",D458)),"Halal Food Products",IF(ISNUMBER(SEARCH("OAP",D458)),"Organic Agriculture",IF(ISNUMBER(SEARCH("NUPAP",D458)),"Vegetables (NUPAP/Urban Agri)",""))))))))))))))</f>
        <v>Corn</v>
      </c>
    </row>
    <row r="459" ht="30" customHeight="1" spans="1:27">
      <c r="A459" s="29" t="s">
        <v>25</v>
      </c>
      <c r="B459" s="29" t="s">
        <v>236</v>
      </c>
      <c r="C459" s="13" t="s">
        <v>251</v>
      </c>
      <c r="D459" s="29" t="s">
        <v>127</v>
      </c>
      <c r="E459" s="19">
        <v>220</v>
      </c>
      <c r="F459" s="20"/>
      <c r="G459" s="29"/>
      <c r="H459" s="33"/>
      <c r="I459" s="29"/>
      <c r="J459" s="29" t="s">
        <v>75</v>
      </c>
      <c r="AA459" t="str">
        <f t="shared" si="7"/>
        <v>Corn</v>
      </c>
    </row>
    <row r="460" ht="30" customHeight="1" spans="1:27">
      <c r="A460" s="29" t="s">
        <v>25</v>
      </c>
      <c r="B460" s="29" t="s">
        <v>236</v>
      </c>
      <c r="C460" s="13" t="s">
        <v>251</v>
      </c>
      <c r="D460" s="29" t="s">
        <v>128</v>
      </c>
      <c r="E460" s="19">
        <v>600</v>
      </c>
      <c r="F460" s="20"/>
      <c r="G460" s="29"/>
      <c r="H460" s="33"/>
      <c r="I460" s="29"/>
      <c r="J460" s="29" t="s">
        <v>75</v>
      </c>
      <c r="AA460" t="str">
        <f t="shared" si="7"/>
        <v>Corn</v>
      </c>
    </row>
    <row r="461" ht="30" customHeight="1" spans="1:27">
      <c r="A461" s="29" t="s">
        <v>25</v>
      </c>
      <c r="B461" s="29" t="s">
        <v>236</v>
      </c>
      <c r="C461" s="13" t="s">
        <v>251</v>
      </c>
      <c r="D461" s="29" t="s">
        <v>122</v>
      </c>
      <c r="E461" s="19">
        <v>1250</v>
      </c>
      <c r="F461" s="20"/>
      <c r="G461" s="29"/>
      <c r="H461" s="33"/>
      <c r="I461" s="29"/>
      <c r="J461" s="29" t="s">
        <v>96</v>
      </c>
      <c r="AA461" t="str">
        <f t="shared" si="7"/>
        <v>Corn</v>
      </c>
    </row>
    <row r="462" spans="1:27">
      <c r="A462" s="29" t="s">
        <v>25</v>
      </c>
      <c r="B462" s="29" t="s">
        <v>236</v>
      </c>
      <c r="C462" s="13" t="s">
        <v>251</v>
      </c>
      <c r="D462" s="29" t="s">
        <v>250</v>
      </c>
      <c r="E462" s="19">
        <v>900</v>
      </c>
      <c r="F462" s="20"/>
      <c r="G462" s="29"/>
      <c r="H462" s="33"/>
      <c r="I462" s="29"/>
      <c r="J462" s="29" t="s">
        <v>75</v>
      </c>
      <c r="AA462" t="str">
        <f t="shared" si="7"/>
        <v>Corn</v>
      </c>
    </row>
    <row r="463" ht="30" spans="1:27">
      <c r="A463" s="29" t="s">
        <v>25</v>
      </c>
      <c r="B463" s="29" t="s">
        <v>236</v>
      </c>
      <c r="C463" s="13" t="s">
        <v>251</v>
      </c>
      <c r="D463" s="29" t="s">
        <v>74</v>
      </c>
      <c r="E463" s="19">
        <v>5250</v>
      </c>
      <c r="F463" s="20"/>
      <c r="G463" s="29"/>
      <c r="H463" s="33"/>
      <c r="I463" s="29"/>
      <c r="J463" s="29" t="s">
        <v>75</v>
      </c>
      <c r="AA463" t="str">
        <f t="shared" si="7"/>
        <v>Corn</v>
      </c>
    </row>
    <row r="464" ht="30" spans="1:27">
      <c r="A464" s="29" t="s">
        <v>25</v>
      </c>
      <c r="B464" s="29" t="s">
        <v>236</v>
      </c>
      <c r="C464" s="13" t="s">
        <v>254</v>
      </c>
      <c r="D464" s="30" t="s">
        <v>255</v>
      </c>
      <c r="E464" s="19"/>
      <c r="F464" s="20">
        <v>28200</v>
      </c>
      <c r="G464" s="29"/>
      <c r="H464" s="29"/>
      <c r="I464" s="29"/>
      <c r="J464" s="29" t="s">
        <v>29</v>
      </c>
      <c r="AA464" t="str">
        <f t="shared" si="7"/>
        <v>Farm-to-Market Road</v>
      </c>
    </row>
    <row r="465" ht="30" customHeight="1" spans="1:27">
      <c r="A465" s="29" t="s">
        <v>25</v>
      </c>
      <c r="B465" s="29" t="s">
        <v>236</v>
      </c>
      <c r="C465" s="13" t="s">
        <v>254</v>
      </c>
      <c r="D465" s="30" t="s">
        <v>256</v>
      </c>
      <c r="E465" s="19"/>
      <c r="F465" s="20">
        <v>32550</v>
      </c>
      <c r="G465" s="29"/>
      <c r="H465" s="29"/>
      <c r="I465" s="29"/>
      <c r="J465" s="29" t="s">
        <v>29</v>
      </c>
      <c r="AA465" t="str">
        <f t="shared" si="7"/>
        <v>Farm-to-Market Road</v>
      </c>
    </row>
    <row r="466" ht="30" customHeight="1" spans="1:27">
      <c r="A466" s="29" t="s">
        <v>25</v>
      </c>
      <c r="B466" s="29" t="s">
        <v>236</v>
      </c>
      <c r="C466" s="13" t="s">
        <v>254</v>
      </c>
      <c r="D466" s="30" t="s">
        <v>257</v>
      </c>
      <c r="E466" s="19"/>
      <c r="F466" s="20">
        <v>11100</v>
      </c>
      <c r="G466" s="29"/>
      <c r="H466" s="29"/>
      <c r="I466" s="29"/>
      <c r="J466" s="29" t="s">
        <v>29</v>
      </c>
      <c r="AA466" t="str">
        <f t="shared" si="7"/>
        <v>Farm-to-Market Road</v>
      </c>
    </row>
    <row r="467" ht="45" customHeight="1" spans="1:27">
      <c r="A467" s="29" t="s">
        <v>25</v>
      </c>
      <c r="B467" s="29" t="s">
        <v>236</v>
      </c>
      <c r="C467" s="13" t="s">
        <v>254</v>
      </c>
      <c r="D467" s="30" t="s">
        <v>258</v>
      </c>
      <c r="E467" s="19"/>
      <c r="F467" s="20">
        <v>18900</v>
      </c>
      <c r="G467" s="29"/>
      <c r="H467" s="29"/>
      <c r="I467" s="29"/>
      <c r="J467" s="29" t="s">
        <v>29</v>
      </c>
      <c r="AA467" t="str">
        <f t="shared" si="7"/>
        <v>Farm-to-Market Road</v>
      </c>
    </row>
    <row r="468" ht="30" customHeight="1" spans="1:27">
      <c r="A468" s="29" t="s">
        <v>25</v>
      </c>
      <c r="B468" s="29" t="s">
        <v>236</v>
      </c>
      <c r="C468" s="13" t="s">
        <v>254</v>
      </c>
      <c r="D468" s="30" t="s">
        <v>259</v>
      </c>
      <c r="E468" s="19"/>
      <c r="F468" s="20">
        <v>22200</v>
      </c>
      <c r="G468" s="29"/>
      <c r="H468" s="29"/>
      <c r="I468" s="29"/>
      <c r="J468" s="29" t="s">
        <v>29</v>
      </c>
      <c r="AA468" t="str">
        <f t="shared" si="7"/>
        <v>Farm-to-Market Road</v>
      </c>
    </row>
    <row r="469" ht="30" customHeight="1" spans="1:27">
      <c r="A469" s="29" t="s">
        <v>25</v>
      </c>
      <c r="B469" s="29" t="s">
        <v>236</v>
      </c>
      <c r="C469" s="13" t="s">
        <v>254</v>
      </c>
      <c r="D469" s="30" t="s">
        <v>260</v>
      </c>
      <c r="E469" s="19"/>
      <c r="F469" s="20">
        <v>22050</v>
      </c>
      <c r="G469" s="29"/>
      <c r="H469" s="29"/>
      <c r="I469" s="29"/>
      <c r="J469" s="29" t="s">
        <v>29</v>
      </c>
      <c r="AA469" t="str">
        <f t="shared" si="7"/>
        <v>Farm-to-Market Road</v>
      </c>
    </row>
    <row r="470" ht="30" customHeight="1" spans="1:27">
      <c r="A470" s="29" t="s">
        <v>25</v>
      </c>
      <c r="B470" s="29" t="s">
        <v>236</v>
      </c>
      <c r="C470" s="13" t="s">
        <v>254</v>
      </c>
      <c r="D470" s="30" t="s">
        <v>261</v>
      </c>
      <c r="E470" s="19"/>
      <c r="F470" s="20">
        <v>34200</v>
      </c>
      <c r="G470" s="29"/>
      <c r="H470" s="29"/>
      <c r="I470" s="29"/>
      <c r="J470" s="29" t="s">
        <v>29</v>
      </c>
      <c r="AA470" t="str">
        <f t="shared" si="7"/>
        <v>Farm-to-Market Road</v>
      </c>
    </row>
    <row r="471" ht="30" customHeight="1" spans="1:27">
      <c r="A471" s="29" t="s">
        <v>25</v>
      </c>
      <c r="B471" s="29" t="s">
        <v>236</v>
      </c>
      <c r="C471" s="13" t="s">
        <v>254</v>
      </c>
      <c r="D471" s="30" t="s">
        <v>262</v>
      </c>
      <c r="E471" s="19"/>
      <c r="F471" s="20">
        <v>25500</v>
      </c>
      <c r="G471" s="29"/>
      <c r="H471" s="29"/>
      <c r="I471" s="29"/>
      <c r="J471" s="29" t="s">
        <v>29</v>
      </c>
      <c r="AA471" t="str">
        <f t="shared" si="7"/>
        <v>Farm-to-Market Road</v>
      </c>
    </row>
    <row r="472" ht="30" customHeight="1" spans="1:27">
      <c r="A472" s="29" t="s">
        <v>25</v>
      </c>
      <c r="B472" s="29" t="s">
        <v>236</v>
      </c>
      <c r="C472" s="13" t="s">
        <v>254</v>
      </c>
      <c r="D472" s="30" t="s">
        <v>263</v>
      </c>
      <c r="E472" s="19">
        <v>27000</v>
      </c>
      <c r="F472" s="20"/>
      <c r="G472" s="29"/>
      <c r="H472" s="29"/>
      <c r="I472" s="29"/>
      <c r="J472" s="29" t="s">
        <v>29</v>
      </c>
      <c r="AA472" t="str">
        <f t="shared" si="7"/>
        <v>Farm-to-Market Road</v>
      </c>
    </row>
    <row r="473" ht="30" customHeight="1" spans="1:27">
      <c r="A473" s="29" t="s">
        <v>25</v>
      </c>
      <c r="B473" s="29" t="s">
        <v>236</v>
      </c>
      <c r="C473" s="13" t="s">
        <v>254</v>
      </c>
      <c r="D473" s="29" t="s">
        <v>240</v>
      </c>
      <c r="E473" s="23">
        <v>13552.0647</v>
      </c>
      <c r="F473" s="24">
        <v>1244.199</v>
      </c>
      <c r="G473" s="29"/>
      <c r="H473" s="33"/>
      <c r="I473" s="33"/>
      <c r="J473" s="29" t="s">
        <v>64</v>
      </c>
      <c r="AA473" t="str">
        <f t="shared" si="7"/>
        <v>Rice</v>
      </c>
    </row>
    <row r="474" ht="30" customHeight="1" spans="1:27">
      <c r="A474" s="29" t="s">
        <v>25</v>
      </c>
      <c r="B474" s="29" t="s">
        <v>236</v>
      </c>
      <c r="C474" s="13" t="s">
        <v>254</v>
      </c>
      <c r="D474" s="29" t="s">
        <v>90</v>
      </c>
      <c r="E474" s="19"/>
      <c r="F474" s="20"/>
      <c r="G474" s="29"/>
      <c r="H474" s="33"/>
      <c r="I474" s="33"/>
      <c r="J474" s="29" t="s">
        <v>75</v>
      </c>
      <c r="AA474" t="str">
        <f t="shared" si="7"/>
        <v>Corn</v>
      </c>
    </row>
    <row r="475" ht="30" customHeight="1" spans="1:27">
      <c r="A475" s="29" t="s">
        <v>25</v>
      </c>
      <c r="B475" s="29" t="s">
        <v>236</v>
      </c>
      <c r="C475" s="13" t="s">
        <v>254</v>
      </c>
      <c r="D475" s="29" t="s">
        <v>70</v>
      </c>
      <c r="E475" s="23">
        <v>60984.2911</v>
      </c>
      <c r="F475" s="20"/>
      <c r="G475" s="29"/>
      <c r="H475" s="33"/>
      <c r="I475" s="29"/>
      <c r="J475" s="29" t="s">
        <v>64</v>
      </c>
      <c r="AA475" t="str">
        <f t="shared" si="7"/>
        <v>Rice</v>
      </c>
    </row>
    <row r="476" ht="30" customHeight="1" spans="1:27">
      <c r="A476" s="29" t="s">
        <v>25</v>
      </c>
      <c r="B476" s="29" t="s">
        <v>236</v>
      </c>
      <c r="C476" s="13" t="s">
        <v>254</v>
      </c>
      <c r="D476" s="29" t="s">
        <v>91</v>
      </c>
      <c r="E476" s="19">
        <v>96</v>
      </c>
      <c r="F476" s="20"/>
      <c r="G476" s="29"/>
      <c r="H476" s="33"/>
      <c r="I476" s="29"/>
      <c r="J476" s="29" t="s">
        <v>75</v>
      </c>
      <c r="AA476" t="str">
        <f t="shared" si="7"/>
        <v>Corn</v>
      </c>
    </row>
    <row r="477" ht="30" customHeight="1" spans="1:27">
      <c r="A477" s="29" t="s">
        <v>25</v>
      </c>
      <c r="B477" s="29" t="s">
        <v>236</v>
      </c>
      <c r="C477" s="13" t="s">
        <v>254</v>
      </c>
      <c r="D477" s="29" t="s">
        <v>71</v>
      </c>
      <c r="E477" s="23">
        <v>3924.5148</v>
      </c>
      <c r="F477" s="20"/>
      <c r="G477" s="29"/>
      <c r="H477" s="33"/>
      <c r="I477" s="29"/>
      <c r="J477" s="29" t="s">
        <v>64</v>
      </c>
      <c r="AA477" t="str">
        <f t="shared" si="7"/>
        <v>Rice</v>
      </c>
    </row>
    <row r="478" ht="30" customHeight="1" spans="1:27">
      <c r="A478" s="29" t="s">
        <v>25</v>
      </c>
      <c r="B478" s="29" t="s">
        <v>236</v>
      </c>
      <c r="C478" s="13" t="s">
        <v>254</v>
      </c>
      <c r="D478" s="29" t="s">
        <v>136</v>
      </c>
      <c r="E478" s="19">
        <v>182.5</v>
      </c>
      <c r="F478" s="20"/>
      <c r="G478" s="29"/>
      <c r="H478" s="33"/>
      <c r="I478" s="29"/>
      <c r="J478" s="29" t="s">
        <v>75</v>
      </c>
      <c r="AA478" t="str">
        <f t="shared" si="7"/>
        <v>Corn</v>
      </c>
    </row>
    <row r="479" ht="30" customHeight="1" spans="1:27">
      <c r="A479" s="29" t="s">
        <v>25</v>
      </c>
      <c r="B479" s="29" t="s">
        <v>236</v>
      </c>
      <c r="C479" s="13" t="s">
        <v>254</v>
      </c>
      <c r="D479" s="29" t="s">
        <v>102</v>
      </c>
      <c r="E479" s="19">
        <v>50</v>
      </c>
      <c r="F479" s="20"/>
      <c r="G479" s="29"/>
      <c r="H479" s="33"/>
      <c r="I479" s="29"/>
      <c r="J479" s="29" t="s">
        <v>75</v>
      </c>
      <c r="AA479" t="str">
        <f t="shared" si="7"/>
        <v>Corn</v>
      </c>
    </row>
    <row r="480" ht="30" spans="1:27">
      <c r="A480" s="29" t="s">
        <v>25</v>
      </c>
      <c r="B480" s="29" t="s">
        <v>236</v>
      </c>
      <c r="C480" s="13" t="s">
        <v>264</v>
      </c>
      <c r="D480" s="29" t="s">
        <v>265</v>
      </c>
      <c r="E480" s="19">
        <v>2500</v>
      </c>
      <c r="F480" s="20"/>
      <c r="G480" s="29"/>
      <c r="H480" s="33"/>
      <c r="I480" s="29"/>
      <c r="J480" s="29" t="s">
        <v>80</v>
      </c>
      <c r="AA480" t="str">
        <f t="shared" si="7"/>
        <v>Livestock (Cattle/Carabao/Swine/Poultry)</v>
      </c>
    </row>
    <row r="481" ht="30" spans="1:27">
      <c r="A481" s="29" t="s">
        <v>25</v>
      </c>
      <c r="B481" s="29" t="s">
        <v>236</v>
      </c>
      <c r="C481" s="13" t="s">
        <v>264</v>
      </c>
      <c r="D481" s="29" t="s">
        <v>240</v>
      </c>
      <c r="E481" s="23">
        <v>7321.7693</v>
      </c>
      <c r="F481" s="24">
        <v>672.203</v>
      </c>
      <c r="G481" s="29"/>
      <c r="H481" s="33"/>
      <c r="I481" s="33"/>
      <c r="J481" s="29" t="s">
        <v>64</v>
      </c>
      <c r="AA481" t="str">
        <f t="shared" si="7"/>
        <v>Rice</v>
      </c>
    </row>
    <row r="482" ht="30" customHeight="1" spans="1:27">
      <c r="A482" s="29" t="s">
        <v>25</v>
      </c>
      <c r="B482" s="29" t="s">
        <v>236</v>
      </c>
      <c r="C482" s="13" t="s">
        <v>264</v>
      </c>
      <c r="D482" s="29" t="s">
        <v>90</v>
      </c>
      <c r="E482" s="19">
        <v>12909</v>
      </c>
      <c r="F482" s="20">
        <v>107575</v>
      </c>
      <c r="G482" s="29"/>
      <c r="H482" s="33"/>
      <c r="I482" s="33"/>
      <c r="J482" s="29" t="s">
        <v>75</v>
      </c>
      <c r="AA482" t="str">
        <f t="shared" si="7"/>
        <v>Corn</v>
      </c>
    </row>
    <row r="483" ht="30" customHeight="1" spans="1:27">
      <c r="A483" s="29" t="s">
        <v>25</v>
      </c>
      <c r="B483" s="29" t="s">
        <v>236</v>
      </c>
      <c r="C483" s="13" t="s">
        <v>264</v>
      </c>
      <c r="D483" s="29" t="s">
        <v>70</v>
      </c>
      <c r="E483" s="23">
        <v>32947.9617</v>
      </c>
      <c r="F483" s="20"/>
      <c r="G483" s="29"/>
      <c r="H483" s="33"/>
      <c r="I483" s="29"/>
      <c r="J483" s="29" t="s">
        <v>64</v>
      </c>
      <c r="AA483" t="str">
        <f t="shared" si="7"/>
        <v>Rice</v>
      </c>
    </row>
    <row r="484" ht="30" customHeight="1" spans="1:27">
      <c r="A484" s="29" t="s">
        <v>25</v>
      </c>
      <c r="B484" s="29" t="s">
        <v>236</v>
      </c>
      <c r="C484" s="13" t="s">
        <v>264</v>
      </c>
      <c r="D484" s="29" t="s">
        <v>91</v>
      </c>
      <c r="E484" s="19">
        <v>1000</v>
      </c>
      <c r="F484" s="20"/>
      <c r="G484" s="29"/>
      <c r="H484" s="33"/>
      <c r="I484" s="29"/>
      <c r="J484" s="29" t="s">
        <v>75</v>
      </c>
      <c r="AA484" t="str">
        <f t="shared" si="7"/>
        <v>Corn</v>
      </c>
    </row>
    <row r="485" ht="30" customHeight="1" spans="1:27">
      <c r="A485" s="29" t="s">
        <v>25</v>
      </c>
      <c r="B485" s="29" t="s">
        <v>236</v>
      </c>
      <c r="C485" s="13" t="s">
        <v>264</v>
      </c>
      <c r="D485" s="29" t="s">
        <v>71</v>
      </c>
      <c r="E485" s="23">
        <v>2120.2962</v>
      </c>
      <c r="F485" s="20"/>
      <c r="G485" s="29"/>
      <c r="H485" s="33"/>
      <c r="I485" s="29"/>
      <c r="J485" s="29" t="s">
        <v>64</v>
      </c>
      <c r="AA485" t="str">
        <f t="shared" si="7"/>
        <v>Rice</v>
      </c>
    </row>
    <row r="486" ht="30" customHeight="1" spans="1:27">
      <c r="A486" s="29" t="s">
        <v>25</v>
      </c>
      <c r="B486" s="29" t="s">
        <v>236</v>
      </c>
      <c r="C486" s="13" t="s">
        <v>264</v>
      </c>
      <c r="D486" s="29" t="s">
        <v>147</v>
      </c>
      <c r="E486" s="19">
        <v>4500</v>
      </c>
      <c r="F486" s="20"/>
      <c r="G486" s="29"/>
      <c r="H486" s="33"/>
      <c r="I486" s="29"/>
      <c r="J486" s="29" t="s">
        <v>75</v>
      </c>
      <c r="AA486" t="str">
        <f t="shared" si="7"/>
        <v>Corn</v>
      </c>
    </row>
    <row r="487" ht="30" customHeight="1" spans="1:27">
      <c r="A487" s="29" t="s">
        <v>25</v>
      </c>
      <c r="B487" s="29" t="s">
        <v>236</v>
      </c>
      <c r="C487" s="13" t="s">
        <v>264</v>
      </c>
      <c r="D487" s="29" t="s">
        <v>160</v>
      </c>
      <c r="E487" s="19">
        <v>2500</v>
      </c>
      <c r="F487" s="20"/>
      <c r="G487" s="29"/>
      <c r="H487" s="33"/>
      <c r="I487" s="29"/>
      <c r="J487" s="29" t="s">
        <v>80</v>
      </c>
      <c r="AA487" t="str">
        <f t="shared" si="7"/>
        <v>Livestock (Cattle/Carabao/Swine/Poultry)</v>
      </c>
    </row>
    <row r="488" ht="30" customHeight="1" spans="1:27">
      <c r="A488" s="29" t="s">
        <v>25</v>
      </c>
      <c r="B488" s="29" t="s">
        <v>236</v>
      </c>
      <c r="C488" s="13" t="s">
        <v>264</v>
      </c>
      <c r="D488" s="29" t="s">
        <v>122</v>
      </c>
      <c r="E488" s="19">
        <v>1250</v>
      </c>
      <c r="F488" s="20"/>
      <c r="G488" s="29"/>
      <c r="H488" s="33"/>
      <c r="I488" s="29"/>
      <c r="J488" s="29" t="s">
        <v>96</v>
      </c>
      <c r="AA488" t="str">
        <f t="shared" si="7"/>
        <v>Corn</v>
      </c>
    </row>
    <row r="489" ht="30" customHeight="1" spans="1:27">
      <c r="A489" s="29" t="s">
        <v>25</v>
      </c>
      <c r="B489" s="29" t="s">
        <v>236</v>
      </c>
      <c r="C489" s="13" t="s">
        <v>264</v>
      </c>
      <c r="D489" s="29" t="s">
        <v>205</v>
      </c>
      <c r="E489" s="19">
        <v>1500</v>
      </c>
      <c r="F489" s="20"/>
      <c r="G489" s="29"/>
      <c r="H489" s="33"/>
      <c r="I489" s="29"/>
      <c r="J489" s="29" t="s">
        <v>35</v>
      </c>
      <c r="AA489" t="str">
        <f t="shared" si="7"/>
        <v>High Value Crops (Vegetables/Fruits/Rootcrops)</v>
      </c>
    </row>
    <row r="490" ht="30" customHeight="1" spans="1:27">
      <c r="A490" s="29" t="s">
        <v>25</v>
      </c>
      <c r="B490" s="29" t="s">
        <v>236</v>
      </c>
      <c r="C490" s="13" t="s">
        <v>264</v>
      </c>
      <c r="D490" s="29" t="s">
        <v>103</v>
      </c>
      <c r="E490" s="19"/>
      <c r="F490" s="20"/>
      <c r="G490" s="29"/>
      <c r="H490" s="33"/>
      <c r="I490" s="29"/>
      <c r="J490" s="29" t="s">
        <v>75</v>
      </c>
      <c r="AA490" t="str">
        <f t="shared" si="7"/>
        <v>Corn</v>
      </c>
    </row>
    <row r="491" ht="30" customHeight="1" spans="1:27">
      <c r="A491" s="29" t="s">
        <v>25</v>
      </c>
      <c r="B491" s="29" t="s">
        <v>236</v>
      </c>
      <c r="C491" s="13" t="s">
        <v>264</v>
      </c>
      <c r="D491" s="29" t="s">
        <v>74</v>
      </c>
      <c r="E491" s="19"/>
      <c r="F491" s="20"/>
      <c r="G491" s="29"/>
      <c r="H491" s="33"/>
      <c r="I491" s="29"/>
      <c r="J491" s="29" t="s">
        <v>75</v>
      </c>
      <c r="AA491" t="str">
        <f t="shared" si="7"/>
        <v>Corn</v>
      </c>
    </row>
    <row r="492" ht="30" customHeight="1" spans="1:27">
      <c r="A492" s="29" t="s">
        <v>25</v>
      </c>
      <c r="B492" s="29" t="s">
        <v>236</v>
      </c>
      <c r="C492" s="13" t="s">
        <v>266</v>
      </c>
      <c r="D492" s="30" t="s">
        <v>267</v>
      </c>
      <c r="E492" s="19">
        <v>15000</v>
      </c>
      <c r="F492" s="20"/>
      <c r="G492" s="29"/>
      <c r="H492" s="29"/>
      <c r="I492" s="29"/>
      <c r="J492" s="29" t="s">
        <v>29</v>
      </c>
      <c r="AA492" t="str">
        <f t="shared" si="7"/>
        <v>Farm-to-Market Road</v>
      </c>
    </row>
    <row r="493" ht="30" customHeight="1" spans="1:27">
      <c r="A493" s="29" t="s">
        <v>25</v>
      </c>
      <c r="B493" s="29" t="s">
        <v>236</v>
      </c>
      <c r="C493" s="13" t="s">
        <v>266</v>
      </c>
      <c r="D493" s="29" t="s">
        <v>240</v>
      </c>
      <c r="E493" s="23">
        <v>15682.3136</v>
      </c>
      <c r="F493" s="24">
        <v>1439.7747</v>
      </c>
      <c r="G493" s="29"/>
      <c r="H493" s="33"/>
      <c r="I493" s="33"/>
      <c r="J493" s="29" t="s">
        <v>64</v>
      </c>
      <c r="AA493" t="str">
        <f t="shared" si="7"/>
        <v>Rice</v>
      </c>
    </row>
    <row r="494" ht="30" customHeight="1" spans="1:27">
      <c r="A494" s="29" t="s">
        <v>25</v>
      </c>
      <c r="B494" s="29" t="s">
        <v>236</v>
      </c>
      <c r="C494" s="13" t="s">
        <v>266</v>
      </c>
      <c r="D494" s="29" t="s">
        <v>202</v>
      </c>
      <c r="E494" s="19">
        <v>840</v>
      </c>
      <c r="F494" s="20"/>
      <c r="G494" s="29"/>
      <c r="H494" s="33"/>
      <c r="I494" s="29"/>
      <c r="J494" s="29" t="s">
        <v>35</v>
      </c>
      <c r="AA494" t="str">
        <f t="shared" si="7"/>
        <v>High Value Crops (Vegetables/Fruits/Rootcrops)</v>
      </c>
    </row>
    <row r="495" ht="30" customHeight="1" spans="1:27">
      <c r="A495" s="29" t="s">
        <v>25</v>
      </c>
      <c r="B495" s="29" t="s">
        <v>236</v>
      </c>
      <c r="C495" s="13" t="s">
        <v>266</v>
      </c>
      <c r="D495" s="29" t="s">
        <v>90</v>
      </c>
      <c r="E495" s="19"/>
      <c r="F495" s="20"/>
      <c r="G495" s="29"/>
      <c r="H495" s="33"/>
      <c r="I495" s="33"/>
      <c r="J495" s="29" t="s">
        <v>75</v>
      </c>
      <c r="AA495" t="str">
        <f t="shared" si="7"/>
        <v>Corn</v>
      </c>
    </row>
    <row r="496" ht="30" customHeight="1" spans="1:27">
      <c r="A496" s="29" t="s">
        <v>25</v>
      </c>
      <c r="B496" s="29" t="s">
        <v>236</v>
      </c>
      <c r="C496" s="13" t="s">
        <v>266</v>
      </c>
      <c r="D496" s="29" t="s">
        <v>70</v>
      </c>
      <c r="E496" s="23">
        <v>70570.4111</v>
      </c>
      <c r="F496" s="20"/>
      <c r="G496" s="29"/>
      <c r="H496" s="33"/>
      <c r="I496" s="29"/>
      <c r="J496" s="29" t="s">
        <v>64</v>
      </c>
      <c r="AA496" t="str">
        <f t="shared" si="7"/>
        <v>Rice</v>
      </c>
    </row>
    <row r="497" ht="30" spans="1:27">
      <c r="A497" s="29" t="s">
        <v>25</v>
      </c>
      <c r="B497" s="29" t="s">
        <v>236</v>
      </c>
      <c r="C497" s="13" t="s">
        <v>266</v>
      </c>
      <c r="D497" s="29" t="s">
        <v>71</v>
      </c>
      <c r="E497" s="23">
        <v>4541.4092</v>
      </c>
      <c r="F497" s="20"/>
      <c r="G497" s="29"/>
      <c r="H497" s="33"/>
      <c r="I497" s="29"/>
      <c r="J497" s="29" t="s">
        <v>64</v>
      </c>
      <c r="AA497" t="str">
        <f t="shared" si="7"/>
        <v>Rice</v>
      </c>
    </row>
    <row r="498" spans="1:27">
      <c r="A498" s="29" t="s">
        <v>25</v>
      </c>
      <c r="B498" s="29" t="s">
        <v>236</v>
      </c>
      <c r="C498" s="13" t="s">
        <v>266</v>
      </c>
      <c r="D498" s="29" t="s">
        <v>72</v>
      </c>
      <c r="E498" s="19">
        <v>6189.82</v>
      </c>
      <c r="F498" s="20"/>
      <c r="G498" s="29"/>
      <c r="H498" s="33"/>
      <c r="I498" s="29"/>
      <c r="J498" s="29" t="s">
        <v>35</v>
      </c>
      <c r="AA498" t="str">
        <f t="shared" si="7"/>
        <v>High Value Crops (Vegetables/Fruits/Rootcrops)</v>
      </c>
    </row>
    <row r="499" spans="1:27">
      <c r="A499" s="29" t="s">
        <v>25</v>
      </c>
      <c r="B499" s="29" t="s">
        <v>236</v>
      </c>
      <c r="C499" s="13" t="s">
        <v>266</v>
      </c>
      <c r="D499" s="29" t="s">
        <v>36</v>
      </c>
      <c r="E499" s="19">
        <v>15000</v>
      </c>
      <c r="F499" s="20"/>
      <c r="G499" s="29"/>
      <c r="H499" s="33"/>
      <c r="I499" s="29"/>
      <c r="J499" s="29" t="s">
        <v>35</v>
      </c>
      <c r="AA499" t="str">
        <f t="shared" si="7"/>
        <v>High Value Crops (Vegetables/Fruits/Rootcrops)</v>
      </c>
    </row>
    <row r="500" spans="1:27">
      <c r="A500" s="29" t="s">
        <v>25</v>
      </c>
      <c r="B500" s="29" t="s">
        <v>236</v>
      </c>
      <c r="C500" s="13" t="s">
        <v>268</v>
      </c>
      <c r="D500" s="29" t="s">
        <v>269</v>
      </c>
      <c r="E500" s="19">
        <v>800</v>
      </c>
      <c r="F500" s="20"/>
      <c r="G500" s="29"/>
      <c r="H500" s="33"/>
      <c r="I500" s="29"/>
      <c r="J500" s="29" t="s">
        <v>75</v>
      </c>
      <c r="AA500" t="str">
        <f t="shared" si="7"/>
        <v>Corn</v>
      </c>
    </row>
    <row r="501" ht="30" spans="1:27">
      <c r="A501" s="29" t="s">
        <v>25</v>
      </c>
      <c r="B501" s="29" t="s">
        <v>236</v>
      </c>
      <c r="C501" s="13" t="s">
        <v>268</v>
      </c>
      <c r="D501" s="29" t="s">
        <v>125</v>
      </c>
      <c r="E501" s="19">
        <v>1440</v>
      </c>
      <c r="F501" s="20"/>
      <c r="G501" s="29"/>
      <c r="H501" s="33"/>
      <c r="I501" s="29"/>
      <c r="J501" s="29" t="s">
        <v>75</v>
      </c>
      <c r="AA501" t="str">
        <f t="shared" si="7"/>
        <v>Corn</v>
      </c>
    </row>
    <row r="502" ht="30" spans="1:27">
      <c r="A502" s="29" t="s">
        <v>25</v>
      </c>
      <c r="B502" s="29" t="s">
        <v>236</v>
      </c>
      <c r="C502" s="13" t="s">
        <v>268</v>
      </c>
      <c r="D502" s="29" t="s">
        <v>112</v>
      </c>
      <c r="E502" s="19">
        <v>2100</v>
      </c>
      <c r="F502" s="20"/>
      <c r="G502" s="29"/>
      <c r="H502" s="33"/>
      <c r="I502" s="29"/>
      <c r="J502" s="29" t="s">
        <v>96</v>
      </c>
      <c r="AA502" t="str">
        <f t="shared" si="7"/>
        <v>Corn</v>
      </c>
    </row>
    <row r="503" ht="30" customHeight="1" spans="1:27">
      <c r="A503" s="29" t="s">
        <v>25</v>
      </c>
      <c r="B503" s="29" t="s">
        <v>236</v>
      </c>
      <c r="C503" s="13" t="s">
        <v>268</v>
      </c>
      <c r="D503" s="30" t="s">
        <v>270</v>
      </c>
      <c r="E503" s="19"/>
      <c r="F503" s="20">
        <v>22500</v>
      </c>
      <c r="G503" s="29"/>
      <c r="H503" s="29"/>
      <c r="I503" s="29"/>
      <c r="J503" s="29" t="s">
        <v>29</v>
      </c>
      <c r="AA503" t="str">
        <f t="shared" si="7"/>
        <v>Farm-to-Market Road</v>
      </c>
    </row>
    <row r="504" ht="30" customHeight="1" spans="1:27">
      <c r="A504" s="29" t="s">
        <v>25</v>
      </c>
      <c r="B504" s="29" t="s">
        <v>236</v>
      </c>
      <c r="C504" s="13" t="s">
        <v>268</v>
      </c>
      <c r="D504" s="30" t="s">
        <v>271</v>
      </c>
      <c r="E504" s="19"/>
      <c r="F504" s="20">
        <v>25500</v>
      </c>
      <c r="G504" s="29"/>
      <c r="H504" s="29"/>
      <c r="I504" s="29"/>
      <c r="J504" s="29" t="s">
        <v>29</v>
      </c>
      <c r="AA504" t="str">
        <f t="shared" si="7"/>
        <v>Farm-to-Market Road</v>
      </c>
    </row>
    <row r="505" ht="30" spans="1:27">
      <c r="A505" s="29" t="s">
        <v>25</v>
      </c>
      <c r="B505" s="29" t="s">
        <v>236</v>
      </c>
      <c r="C505" s="13" t="s">
        <v>268</v>
      </c>
      <c r="D505" s="30" t="s">
        <v>272</v>
      </c>
      <c r="E505" s="19"/>
      <c r="F505" s="20">
        <v>19500</v>
      </c>
      <c r="G505" s="29"/>
      <c r="H505" s="29"/>
      <c r="I505" s="29"/>
      <c r="J505" s="29" t="s">
        <v>29</v>
      </c>
      <c r="AA505" t="str">
        <f t="shared" si="7"/>
        <v>Farm-to-Market Road</v>
      </c>
    </row>
    <row r="506" ht="30" spans="1:27">
      <c r="A506" s="29" t="s">
        <v>25</v>
      </c>
      <c r="B506" s="29" t="s">
        <v>236</v>
      </c>
      <c r="C506" s="13" t="s">
        <v>268</v>
      </c>
      <c r="D506" s="30" t="s">
        <v>273</v>
      </c>
      <c r="E506" s="19">
        <v>58000</v>
      </c>
      <c r="F506" s="20"/>
      <c r="G506" s="29"/>
      <c r="H506" s="29"/>
      <c r="I506" s="29"/>
      <c r="J506" s="29" t="s">
        <v>29</v>
      </c>
      <c r="AA506" t="str">
        <f t="shared" si="7"/>
        <v>Farm-to-Market Road</v>
      </c>
    </row>
    <row r="507" ht="30" customHeight="1" spans="1:27">
      <c r="A507" s="29" t="s">
        <v>25</v>
      </c>
      <c r="B507" s="29" t="s">
        <v>236</v>
      </c>
      <c r="C507" s="13" t="s">
        <v>268</v>
      </c>
      <c r="D507" s="30" t="s">
        <v>274</v>
      </c>
      <c r="E507" s="19"/>
      <c r="F507" s="20">
        <v>15000</v>
      </c>
      <c r="G507" s="29"/>
      <c r="H507" s="29"/>
      <c r="I507" s="29"/>
      <c r="J507" s="29" t="s">
        <v>29</v>
      </c>
      <c r="AA507" t="str">
        <f t="shared" si="7"/>
        <v>Farm-to-Market Road</v>
      </c>
    </row>
    <row r="508" ht="30" customHeight="1" spans="1:27">
      <c r="A508" s="29" t="s">
        <v>25</v>
      </c>
      <c r="B508" s="29" t="s">
        <v>236</v>
      </c>
      <c r="C508" s="13" t="s">
        <v>268</v>
      </c>
      <c r="D508" s="29" t="s">
        <v>114</v>
      </c>
      <c r="E508" s="19">
        <v>2100</v>
      </c>
      <c r="F508" s="20"/>
      <c r="G508" s="29"/>
      <c r="H508" s="33"/>
      <c r="I508" s="29"/>
      <c r="J508" s="29" t="s">
        <v>75</v>
      </c>
      <c r="AA508" t="str">
        <f t="shared" si="7"/>
        <v>Corn</v>
      </c>
    </row>
    <row r="509" ht="30" customHeight="1" spans="1:27">
      <c r="A509" s="29" t="s">
        <v>25</v>
      </c>
      <c r="B509" s="29" t="s">
        <v>236</v>
      </c>
      <c r="C509" s="13" t="s">
        <v>268</v>
      </c>
      <c r="D509" s="29" t="s">
        <v>163</v>
      </c>
      <c r="E509" s="19">
        <v>150000</v>
      </c>
      <c r="F509" s="20"/>
      <c r="G509" s="29"/>
      <c r="H509" s="33"/>
      <c r="I509" s="29"/>
      <c r="J509" s="29" t="s">
        <v>96</v>
      </c>
      <c r="AA509" t="str">
        <f t="shared" si="7"/>
        <v>Corn</v>
      </c>
    </row>
    <row r="510" ht="30" spans="1:27">
      <c r="A510" s="29" t="s">
        <v>25</v>
      </c>
      <c r="B510" s="29" t="s">
        <v>236</v>
      </c>
      <c r="C510" s="13" t="s">
        <v>268</v>
      </c>
      <c r="D510" s="29" t="s">
        <v>275</v>
      </c>
      <c r="E510" s="19">
        <v>150000</v>
      </c>
      <c r="F510" s="20"/>
      <c r="G510" s="29"/>
      <c r="H510" s="33"/>
      <c r="I510" s="29"/>
      <c r="J510" s="29" t="s">
        <v>75</v>
      </c>
      <c r="AA510" t="str">
        <f t="shared" si="7"/>
        <v>Corn</v>
      </c>
    </row>
    <row r="511" spans="1:27">
      <c r="A511" s="29" t="s">
        <v>25</v>
      </c>
      <c r="B511" s="29" t="s">
        <v>236</v>
      </c>
      <c r="C511" s="13" t="s">
        <v>268</v>
      </c>
      <c r="D511" s="29" t="s">
        <v>276</v>
      </c>
      <c r="E511" s="19">
        <v>1500</v>
      </c>
      <c r="F511" s="20"/>
      <c r="G511" s="29"/>
      <c r="H511" s="33"/>
      <c r="I511" s="29"/>
      <c r="J511" s="29" t="s">
        <v>75</v>
      </c>
      <c r="AA511" t="str">
        <f t="shared" si="7"/>
        <v>Corn</v>
      </c>
    </row>
    <row r="512" spans="1:27">
      <c r="A512" s="29" t="s">
        <v>25</v>
      </c>
      <c r="B512" s="29" t="s">
        <v>236</v>
      </c>
      <c r="C512" s="13" t="s">
        <v>268</v>
      </c>
      <c r="D512" s="29" t="s">
        <v>277</v>
      </c>
      <c r="E512" s="19">
        <v>1500</v>
      </c>
      <c r="F512" s="20"/>
      <c r="G512" s="29"/>
      <c r="H512" s="33"/>
      <c r="I512" s="29"/>
      <c r="J512" s="29" t="s">
        <v>96</v>
      </c>
      <c r="AA512" t="str">
        <f t="shared" si="7"/>
        <v>Corn</v>
      </c>
    </row>
    <row r="513" ht="30" customHeight="1" spans="1:27">
      <c r="A513" s="29" t="s">
        <v>25</v>
      </c>
      <c r="B513" s="29" t="s">
        <v>236</v>
      </c>
      <c r="C513" s="13" t="s">
        <v>268</v>
      </c>
      <c r="D513" s="29" t="s">
        <v>278</v>
      </c>
      <c r="E513" s="19">
        <v>8000</v>
      </c>
      <c r="F513" s="20"/>
      <c r="G513" s="29"/>
      <c r="H513" s="33"/>
      <c r="I513" s="29"/>
      <c r="J513" s="29" t="s">
        <v>96</v>
      </c>
      <c r="AA513" t="str">
        <f t="shared" si="7"/>
        <v>Corn</v>
      </c>
    </row>
    <row r="514" ht="30" customHeight="1" spans="1:27">
      <c r="A514" s="29" t="s">
        <v>25</v>
      </c>
      <c r="B514" s="29" t="s">
        <v>236</v>
      </c>
      <c r="C514" s="13" t="s">
        <v>268</v>
      </c>
      <c r="D514" s="29" t="s">
        <v>279</v>
      </c>
      <c r="E514" s="19">
        <v>6900</v>
      </c>
      <c r="F514" s="20"/>
      <c r="G514" s="29"/>
      <c r="H514" s="33"/>
      <c r="I514" s="29"/>
      <c r="J514" s="29" t="s">
        <v>75</v>
      </c>
      <c r="AA514" t="str">
        <f t="shared" si="7"/>
        <v>Corn</v>
      </c>
    </row>
    <row r="515" ht="30" customHeight="1" spans="1:27">
      <c r="A515" s="29" t="s">
        <v>25</v>
      </c>
      <c r="B515" s="29" t="s">
        <v>236</v>
      </c>
      <c r="C515" s="13" t="s">
        <v>268</v>
      </c>
      <c r="D515" s="29" t="s">
        <v>280</v>
      </c>
      <c r="E515" s="19">
        <v>8000</v>
      </c>
      <c r="F515" s="20"/>
      <c r="G515" s="29"/>
      <c r="H515" s="33"/>
      <c r="I515" s="29"/>
      <c r="J515" s="29" t="s">
        <v>75</v>
      </c>
      <c r="AA515" t="str">
        <f t="shared" si="7"/>
        <v>Corn</v>
      </c>
    </row>
    <row r="516" ht="30" customHeight="1" spans="1:27">
      <c r="A516" s="29" t="s">
        <v>25</v>
      </c>
      <c r="B516" s="29" t="s">
        <v>236</v>
      </c>
      <c r="C516" s="13" t="s">
        <v>268</v>
      </c>
      <c r="D516" s="29" t="s">
        <v>90</v>
      </c>
      <c r="E516" s="19">
        <v>4966</v>
      </c>
      <c r="F516" s="20">
        <v>65000</v>
      </c>
      <c r="G516" s="29"/>
      <c r="H516" s="33"/>
      <c r="I516" s="33"/>
      <c r="J516" s="29" t="s">
        <v>75</v>
      </c>
      <c r="AA516" t="str">
        <f t="shared" si="7"/>
        <v>Corn</v>
      </c>
    </row>
    <row r="517" spans="1:27">
      <c r="A517" s="29" t="s">
        <v>25</v>
      </c>
      <c r="B517" s="29" t="s">
        <v>236</v>
      </c>
      <c r="C517" s="13" t="s">
        <v>268</v>
      </c>
      <c r="D517" s="29" t="s">
        <v>91</v>
      </c>
      <c r="E517" s="19">
        <v>480</v>
      </c>
      <c r="F517" s="20"/>
      <c r="G517" s="29"/>
      <c r="H517" s="33"/>
      <c r="I517" s="29"/>
      <c r="J517" s="29" t="s">
        <v>75</v>
      </c>
      <c r="AA517" t="str">
        <f t="shared" si="7"/>
        <v>Corn</v>
      </c>
    </row>
    <row r="518" spans="1:27">
      <c r="A518" s="29" t="s">
        <v>25</v>
      </c>
      <c r="B518" s="29" t="s">
        <v>236</v>
      </c>
      <c r="C518" s="13" t="s">
        <v>268</v>
      </c>
      <c r="D518" s="29" t="s">
        <v>72</v>
      </c>
      <c r="E518" s="19">
        <v>412.65</v>
      </c>
      <c r="F518" s="20"/>
      <c r="G518" s="29"/>
      <c r="H518" s="33"/>
      <c r="I518" s="29"/>
      <c r="J518" s="29" t="s">
        <v>35</v>
      </c>
      <c r="AA518" t="str">
        <f t="shared" si="7"/>
        <v>High Value Crops (Vegetables/Fruits/Rootcrops)</v>
      </c>
    </row>
    <row r="519" ht="30" spans="1:27">
      <c r="A519" s="29" t="s">
        <v>25</v>
      </c>
      <c r="B519" s="29" t="s">
        <v>236</v>
      </c>
      <c r="C519" s="13" t="s">
        <v>268</v>
      </c>
      <c r="D519" s="29" t="s">
        <v>119</v>
      </c>
      <c r="E519" s="19">
        <v>200</v>
      </c>
      <c r="F519" s="20"/>
      <c r="G519" s="29"/>
      <c r="H519" s="33"/>
      <c r="I519" s="29"/>
      <c r="J519" s="29" t="s">
        <v>96</v>
      </c>
      <c r="AA519" t="str">
        <f t="shared" si="7"/>
        <v>Corn</v>
      </c>
    </row>
    <row r="520" ht="30" customHeight="1" spans="1:27">
      <c r="A520" s="29" t="s">
        <v>25</v>
      </c>
      <c r="B520" s="29" t="s">
        <v>236</v>
      </c>
      <c r="C520" s="13" t="s">
        <v>268</v>
      </c>
      <c r="D520" s="29" t="s">
        <v>120</v>
      </c>
      <c r="E520" s="19">
        <v>200</v>
      </c>
      <c r="F520" s="20"/>
      <c r="G520" s="29"/>
      <c r="H520" s="33"/>
      <c r="I520" s="29"/>
      <c r="J520" s="29" t="s">
        <v>75</v>
      </c>
      <c r="AA520" t="str">
        <f t="shared" si="7"/>
        <v>Corn</v>
      </c>
    </row>
    <row r="521" ht="30" customHeight="1" spans="1:27">
      <c r="A521" s="29" t="s">
        <v>25</v>
      </c>
      <c r="B521" s="29" t="s">
        <v>236</v>
      </c>
      <c r="C521" s="13" t="s">
        <v>268</v>
      </c>
      <c r="D521" s="29" t="s">
        <v>127</v>
      </c>
      <c r="E521" s="19">
        <v>220</v>
      </c>
      <c r="F521" s="20"/>
      <c r="G521" s="29"/>
      <c r="H521" s="33"/>
      <c r="I521" s="29"/>
      <c r="J521" s="29" t="s">
        <v>75</v>
      </c>
      <c r="AA521" t="str">
        <f t="shared" si="7"/>
        <v>Corn</v>
      </c>
    </row>
    <row r="522" ht="30" spans="1:27">
      <c r="A522" s="29" t="s">
        <v>25</v>
      </c>
      <c r="B522" s="29" t="s">
        <v>236</v>
      </c>
      <c r="C522" s="13" t="s">
        <v>268</v>
      </c>
      <c r="D522" s="29" t="s">
        <v>244</v>
      </c>
      <c r="E522" s="19">
        <v>1200</v>
      </c>
      <c r="F522" s="20"/>
      <c r="G522" s="29"/>
      <c r="H522" s="33"/>
      <c r="I522" s="29"/>
      <c r="J522" s="29" t="s">
        <v>75</v>
      </c>
      <c r="AA522" t="str">
        <f t="shared" ref="AA522:AA585" si="8">_xlfn.IFS(J522="DA-FMRDP","Farm-to-Market Road",J522="DA-RFO2 RICE","Rice",J522="DA-RFO2 Rice Program","Rice",J522="DA-RFO2 CORN","Corn",J522="DA-RFO2 Corn Program","Corn",J522="DA-RFO2 HVCDP","High Value Crops (Vegetables/Fruits/Rootcrops)",J522="DA-RFO2 HVCDP Export","High Value Export Crops (Dragon Fruit/Ube/Okra/Banana)",J522="DA-RFO2 HVCDP Coffee","Coffee (HVCDP)",J522="DA-RFO2 LIVESTOCK","Livestock (Cattle/Carabao/Swine/Poultry)",J522="DA-RFO2 SAAD","Various Commodities (SAAD)",J522="DA-RFO2 4K","Various Commodities (4Ks)",J522="DA-RFO2 4KS","Various Commodities (4Ks)",J522="DA-RFO2 HALAL","Halal Food Products",J522="DA-RFO2 OAP","Organic Agriculture",J522="DA-RFO2 NUPAP","Vegetables (NUPAP/Urban Agri)",TRUE,IF(ISNUMBER(SEARCH("FMR",D522)),"Farm-to-Market Road",IF(ISNUMBER(SEARCH("RICE",D522)),"Rice",IF(ISNUMBER(SEARCH("CORN",D522)),"Corn",IF(ISNUMBER(SEARCH("HVCDP COFFEE",D522)),"Coffee (HVCDP)",IF(ISNUMBER(SEARCH("HVCDP EXPORT",D522)),"High Value Export Crops (Dragon Fruit/Ube/Okra/Banana)",IF(ISNUMBER(SEARCH("HVCDP",D522)),"High Value Crops (Vegetables/Fruits/Rootcrops)",IF(ISNUMBER(SEARCH("LIVESTOCK",D522)),"Livestock (Cattle/Carabao/Swine/Poultry)",IF(ISNUMBER(SEARCH("SAAD",D522)),"Various Commodities (SAAD)",IF(ISNUMBER(SEARCH("4KS",D522)),"Various Commodities (4Ks)",IF(ISNUMBER(SEARCH("4K",D522)),"Various Commodities (4Ks)",IF(ISNUMBER(SEARCH("HALAL",D522)),"Halal Food Products",IF(ISNUMBER(SEARCH("OAP",D522)),"Organic Agriculture",IF(ISNUMBER(SEARCH("NUPAP",D522)),"Vegetables (NUPAP/Urban Agri)",""))))))))))))))</f>
        <v>Corn</v>
      </c>
    </row>
    <row r="523" ht="30" customHeight="1" spans="1:27">
      <c r="A523" s="29" t="s">
        <v>25</v>
      </c>
      <c r="B523" s="29" t="s">
        <v>236</v>
      </c>
      <c r="C523" s="13" t="s">
        <v>268</v>
      </c>
      <c r="D523" s="29" t="s">
        <v>73</v>
      </c>
      <c r="E523" s="19">
        <v>4800</v>
      </c>
      <c r="F523" s="20"/>
      <c r="G523" s="29"/>
      <c r="H523" s="33"/>
      <c r="I523" s="29"/>
      <c r="J523" s="29" t="s">
        <v>64</v>
      </c>
      <c r="AA523" t="str">
        <f t="shared" si="8"/>
        <v>Rice</v>
      </c>
    </row>
    <row r="524" ht="30" customHeight="1" spans="1:27">
      <c r="A524" s="29" t="s">
        <v>25</v>
      </c>
      <c r="B524" s="29" t="s">
        <v>236</v>
      </c>
      <c r="C524" s="13" t="s">
        <v>268</v>
      </c>
      <c r="D524" s="29" t="s">
        <v>36</v>
      </c>
      <c r="E524" s="19">
        <v>1000</v>
      </c>
      <c r="F524" s="20"/>
      <c r="G524" s="29"/>
      <c r="H524" s="33"/>
      <c r="I524" s="29"/>
      <c r="J524" s="29" t="s">
        <v>35</v>
      </c>
      <c r="AA524" t="str">
        <f t="shared" si="8"/>
        <v>High Value Crops (Vegetables/Fruits/Rootcrops)</v>
      </c>
    </row>
    <row r="525" ht="30" customHeight="1" spans="1:27">
      <c r="A525" s="29" t="s">
        <v>25</v>
      </c>
      <c r="B525" s="29" t="s">
        <v>236</v>
      </c>
      <c r="C525" s="13" t="s">
        <v>268</v>
      </c>
      <c r="D525" s="29" t="s">
        <v>249</v>
      </c>
      <c r="E525" s="19">
        <v>500</v>
      </c>
      <c r="F525" s="20"/>
      <c r="G525" s="29"/>
      <c r="H525" s="33"/>
      <c r="I525" s="29"/>
      <c r="J525" s="29" t="s">
        <v>75</v>
      </c>
      <c r="AA525" t="str">
        <f t="shared" si="8"/>
        <v>Corn</v>
      </c>
    </row>
    <row r="526" ht="30" customHeight="1" spans="1:27">
      <c r="A526" s="29" t="s">
        <v>25</v>
      </c>
      <c r="B526" s="29" t="s">
        <v>236</v>
      </c>
      <c r="C526" s="13" t="s">
        <v>268</v>
      </c>
      <c r="D526" s="29" t="s">
        <v>281</v>
      </c>
      <c r="E526" s="19">
        <v>720</v>
      </c>
      <c r="F526" s="20"/>
      <c r="G526" s="29"/>
      <c r="H526" s="33"/>
      <c r="I526" s="29"/>
      <c r="J526" s="29" t="s">
        <v>75</v>
      </c>
      <c r="AA526" t="str">
        <f t="shared" si="8"/>
        <v>Corn</v>
      </c>
    </row>
    <row r="527" ht="30" spans="1:27">
      <c r="A527" s="29" t="s">
        <v>25</v>
      </c>
      <c r="B527" s="29" t="s">
        <v>236</v>
      </c>
      <c r="C527" s="13" t="s">
        <v>268</v>
      </c>
      <c r="D527" s="29" t="s">
        <v>74</v>
      </c>
      <c r="E527" s="19"/>
      <c r="F527" s="20"/>
      <c r="G527" s="29"/>
      <c r="H527" s="33"/>
      <c r="I527" s="29"/>
      <c r="J527" s="29" t="s">
        <v>75</v>
      </c>
      <c r="AA527" t="str">
        <f t="shared" si="8"/>
        <v>Corn</v>
      </c>
    </row>
    <row r="528" ht="30" spans="1:27">
      <c r="A528" s="29" t="s">
        <v>25</v>
      </c>
      <c r="B528" s="29" t="s">
        <v>236</v>
      </c>
      <c r="C528" s="13" t="s">
        <v>282</v>
      </c>
      <c r="D528" s="29" t="s">
        <v>125</v>
      </c>
      <c r="E528" s="19">
        <v>1560</v>
      </c>
      <c r="F528" s="20"/>
      <c r="G528" s="29"/>
      <c r="H528" s="33"/>
      <c r="I528" s="29"/>
      <c r="J528" s="29" t="s">
        <v>75</v>
      </c>
      <c r="AA528" t="str">
        <f t="shared" si="8"/>
        <v>Corn</v>
      </c>
    </row>
    <row r="529" ht="45" customHeight="1" spans="1:27">
      <c r="A529" s="29" t="s">
        <v>25</v>
      </c>
      <c r="B529" s="29" t="s">
        <v>236</v>
      </c>
      <c r="C529" s="13" t="s">
        <v>282</v>
      </c>
      <c r="D529" s="30" t="s">
        <v>283</v>
      </c>
      <c r="E529" s="19"/>
      <c r="F529" s="20">
        <v>57000</v>
      </c>
      <c r="G529" s="29"/>
      <c r="H529" s="29"/>
      <c r="I529" s="29"/>
      <c r="J529" s="29" t="s">
        <v>29</v>
      </c>
      <c r="AA529" t="str">
        <f t="shared" si="8"/>
        <v>Farm-to-Market Road</v>
      </c>
    </row>
    <row r="530" ht="45" customHeight="1" spans="1:27">
      <c r="A530" s="29" t="s">
        <v>25</v>
      </c>
      <c r="B530" s="29" t="s">
        <v>236</v>
      </c>
      <c r="C530" s="13" t="s">
        <v>282</v>
      </c>
      <c r="D530" s="29" t="s">
        <v>163</v>
      </c>
      <c r="E530" s="19">
        <v>90000</v>
      </c>
      <c r="F530" s="20"/>
      <c r="G530" s="29"/>
      <c r="H530" s="33"/>
      <c r="I530" s="29"/>
      <c r="J530" s="29" t="s">
        <v>96</v>
      </c>
      <c r="AA530" t="str">
        <f t="shared" si="8"/>
        <v>Corn</v>
      </c>
    </row>
    <row r="531" ht="30" customHeight="1" spans="1:27">
      <c r="A531" s="29" t="s">
        <v>25</v>
      </c>
      <c r="B531" s="29" t="s">
        <v>236</v>
      </c>
      <c r="C531" s="13" t="s">
        <v>282</v>
      </c>
      <c r="D531" s="29" t="s">
        <v>275</v>
      </c>
      <c r="E531" s="19">
        <v>150800</v>
      </c>
      <c r="F531" s="20"/>
      <c r="G531" s="29"/>
      <c r="H531" s="33"/>
      <c r="I531" s="29"/>
      <c r="J531" s="29" t="s">
        <v>75</v>
      </c>
      <c r="AA531" t="str">
        <f t="shared" si="8"/>
        <v>Corn</v>
      </c>
    </row>
    <row r="532" spans="1:27">
      <c r="A532" s="29" t="s">
        <v>25</v>
      </c>
      <c r="B532" s="29" t="s">
        <v>236</v>
      </c>
      <c r="C532" s="13" t="s">
        <v>282</v>
      </c>
      <c r="D532" s="29" t="s">
        <v>284</v>
      </c>
      <c r="E532" s="19">
        <v>1000</v>
      </c>
      <c r="F532" s="20"/>
      <c r="G532" s="29"/>
      <c r="H532" s="33"/>
      <c r="I532" s="29"/>
      <c r="J532" s="29" t="s">
        <v>75</v>
      </c>
      <c r="AA532" t="str">
        <f t="shared" si="8"/>
        <v>Corn</v>
      </c>
    </row>
    <row r="533" ht="30" spans="1:27">
      <c r="A533" s="29" t="s">
        <v>25</v>
      </c>
      <c r="B533" s="29" t="s">
        <v>236</v>
      </c>
      <c r="C533" s="13" t="s">
        <v>282</v>
      </c>
      <c r="D533" s="29" t="s">
        <v>285</v>
      </c>
      <c r="E533" s="19">
        <v>2200</v>
      </c>
      <c r="F533" s="20"/>
      <c r="G533" s="29"/>
      <c r="H533" s="33"/>
      <c r="I533" s="29"/>
      <c r="J533" s="29" t="s">
        <v>196</v>
      </c>
      <c r="AA533" t="str">
        <f t="shared" si="8"/>
        <v>Vegetables (NUPAP/Urban Agri)</v>
      </c>
    </row>
    <row r="534" ht="30" spans="1:27">
      <c r="A534" s="29" t="s">
        <v>25</v>
      </c>
      <c r="B534" s="29" t="s">
        <v>236</v>
      </c>
      <c r="C534" s="13" t="s">
        <v>282</v>
      </c>
      <c r="D534" s="29" t="s">
        <v>286</v>
      </c>
      <c r="E534" s="19">
        <v>2200</v>
      </c>
      <c r="F534" s="20"/>
      <c r="G534" s="29"/>
      <c r="H534" s="33"/>
      <c r="I534" s="29"/>
      <c r="J534" s="29" t="s">
        <v>196</v>
      </c>
      <c r="AA534" t="str">
        <f t="shared" si="8"/>
        <v>Vegetables (NUPAP/Urban Agri)</v>
      </c>
    </row>
    <row r="535" ht="30" customHeight="1" spans="1:27">
      <c r="A535" s="29" t="s">
        <v>25</v>
      </c>
      <c r="B535" s="29" t="s">
        <v>236</v>
      </c>
      <c r="C535" s="13" t="s">
        <v>282</v>
      </c>
      <c r="D535" s="29" t="s">
        <v>278</v>
      </c>
      <c r="E535" s="19">
        <v>8000</v>
      </c>
      <c r="F535" s="20"/>
      <c r="G535" s="29"/>
      <c r="H535" s="33"/>
      <c r="I535" s="29"/>
      <c r="J535" s="29" t="s">
        <v>96</v>
      </c>
      <c r="AA535" t="str">
        <f t="shared" si="8"/>
        <v>Corn</v>
      </c>
    </row>
    <row r="536" ht="30" spans="1:27">
      <c r="A536" s="29" t="s">
        <v>25</v>
      </c>
      <c r="B536" s="29" t="s">
        <v>236</v>
      </c>
      <c r="C536" s="13" t="s">
        <v>282</v>
      </c>
      <c r="D536" s="29" t="s">
        <v>280</v>
      </c>
      <c r="E536" s="19">
        <v>8000</v>
      </c>
      <c r="F536" s="20"/>
      <c r="G536" s="29"/>
      <c r="H536" s="33"/>
      <c r="I536" s="29"/>
      <c r="J536" s="29" t="s">
        <v>75</v>
      </c>
      <c r="AA536" t="str">
        <f t="shared" si="8"/>
        <v>Corn</v>
      </c>
    </row>
    <row r="537" spans="1:27">
      <c r="A537" s="29" t="s">
        <v>25</v>
      </c>
      <c r="B537" s="29" t="s">
        <v>236</v>
      </c>
      <c r="C537" s="13" t="s">
        <v>282</v>
      </c>
      <c r="D537" s="29" t="s">
        <v>90</v>
      </c>
      <c r="E537" s="19"/>
      <c r="F537" s="20"/>
      <c r="G537" s="29"/>
      <c r="H537" s="33"/>
      <c r="I537" s="33"/>
      <c r="J537" s="29" t="s">
        <v>75</v>
      </c>
      <c r="AA537" t="str">
        <f t="shared" si="8"/>
        <v>Corn</v>
      </c>
    </row>
    <row r="538" ht="30" customHeight="1" spans="1:27">
      <c r="A538" s="29" t="s">
        <v>25</v>
      </c>
      <c r="B538" s="29" t="s">
        <v>236</v>
      </c>
      <c r="C538" s="13" t="s">
        <v>282</v>
      </c>
      <c r="D538" s="29" t="s">
        <v>91</v>
      </c>
      <c r="E538" s="19">
        <v>480</v>
      </c>
      <c r="F538" s="20"/>
      <c r="G538" s="29"/>
      <c r="H538" s="33"/>
      <c r="I538" s="29"/>
      <c r="J538" s="29" t="s">
        <v>75</v>
      </c>
      <c r="AA538" t="str">
        <f t="shared" si="8"/>
        <v>Corn</v>
      </c>
    </row>
    <row r="539" ht="30" customHeight="1" spans="1:27">
      <c r="A539" s="29" t="s">
        <v>25</v>
      </c>
      <c r="B539" s="29" t="s">
        <v>236</v>
      </c>
      <c r="C539" s="13" t="s">
        <v>282</v>
      </c>
      <c r="D539" s="29" t="s">
        <v>72</v>
      </c>
      <c r="E539" s="19">
        <v>618.98</v>
      </c>
      <c r="F539" s="20"/>
      <c r="G539" s="29"/>
      <c r="H539" s="33"/>
      <c r="I539" s="29"/>
      <c r="J539" s="29" t="s">
        <v>35</v>
      </c>
      <c r="AA539" t="str">
        <f t="shared" si="8"/>
        <v>High Value Crops (Vegetables/Fruits/Rootcrops)</v>
      </c>
    </row>
    <row r="540" ht="30" customHeight="1" spans="1:27">
      <c r="A540" s="29" t="s">
        <v>25</v>
      </c>
      <c r="B540" s="29" t="s">
        <v>236</v>
      </c>
      <c r="C540" s="13" t="s">
        <v>282</v>
      </c>
      <c r="D540" s="29" t="s">
        <v>195</v>
      </c>
      <c r="E540" s="19">
        <v>2180</v>
      </c>
      <c r="F540" s="20"/>
      <c r="G540" s="29"/>
      <c r="H540" s="33"/>
      <c r="I540" s="29"/>
      <c r="J540" s="29" t="s">
        <v>196</v>
      </c>
      <c r="AA540" t="str">
        <f t="shared" si="8"/>
        <v>Vegetables (NUPAP/Urban Agri)</v>
      </c>
    </row>
    <row r="541" ht="30" customHeight="1" spans="1:27">
      <c r="A541" s="29" t="s">
        <v>25</v>
      </c>
      <c r="B541" s="29" t="s">
        <v>236</v>
      </c>
      <c r="C541" s="13" t="s">
        <v>282</v>
      </c>
      <c r="D541" s="29" t="s">
        <v>198</v>
      </c>
      <c r="E541" s="19">
        <v>2180</v>
      </c>
      <c r="F541" s="20"/>
      <c r="G541" s="29"/>
      <c r="H541" s="33"/>
      <c r="I541" s="29"/>
      <c r="J541" s="29" t="s">
        <v>196</v>
      </c>
      <c r="AA541" t="str">
        <f t="shared" si="8"/>
        <v>Vegetables (NUPAP/Urban Agri)</v>
      </c>
    </row>
    <row r="542" ht="30" customHeight="1" spans="1:27">
      <c r="A542" s="29" t="s">
        <v>25</v>
      </c>
      <c r="B542" s="29" t="s">
        <v>236</v>
      </c>
      <c r="C542" s="13" t="s">
        <v>282</v>
      </c>
      <c r="D542" s="29" t="s">
        <v>147</v>
      </c>
      <c r="E542" s="19">
        <v>4500</v>
      </c>
      <c r="F542" s="20"/>
      <c r="G542" s="29"/>
      <c r="H542" s="33"/>
      <c r="I542" s="29"/>
      <c r="J542" s="29" t="s">
        <v>75</v>
      </c>
      <c r="AA542" t="str">
        <f t="shared" si="8"/>
        <v>Corn</v>
      </c>
    </row>
    <row r="543" ht="30" customHeight="1" spans="1:27">
      <c r="A543" s="29" t="s">
        <v>25</v>
      </c>
      <c r="B543" s="29" t="s">
        <v>236</v>
      </c>
      <c r="C543" s="13" t="s">
        <v>282</v>
      </c>
      <c r="D543" s="29" t="s">
        <v>127</v>
      </c>
      <c r="E543" s="19">
        <v>220</v>
      </c>
      <c r="F543" s="20"/>
      <c r="G543" s="29"/>
      <c r="H543" s="33"/>
      <c r="I543" s="29"/>
      <c r="J543" s="29" t="s">
        <v>75</v>
      </c>
      <c r="AA543" t="str">
        <f t="shared" si="8"/>
        <v>Corn</v>
      </c>
    </row>
    <row r="544" ht="30" customHeight="1" spans="1:27">
      <c r="A544" s="29" t="s">
        <v>25</v>
      </c>
      <c r="B544" s="29" t="s">
        <v>236</v>
      </c>
      <c r="C544" s="13" t="s">
        <v>282</v>
      </c>
      <c r="D544" s="29" t="s">
        <v>244</v>
      </c>
      <c r="E544" s="19">
        <v>1300</v>
      </c>
      <c r="F544" s="20"/>
      <c r="G544" s="29"/>
      <c r="H544" s="33"/>
      <c r="I544" s="29"/>
      <c r="J544" s="29" t="s">
        <v>75</v>
      </c>
      <c r="AA544" t="str">
        <f t="shared" si="8"/>
        <v>Corn</v>
      </c>
    </row>
    <row r="545" ht="30" customHeight="1" spans="1:27">
      <c r="A545" s="29" t="s">
        <v>25</v>
      </c>
      <c r="B545" s="29" t="s">
        <v>236</v>
      </c>
      <c r="C545" s="13" t="s">
        <v>282</v>
      </c>
      <c r="D545" s="29" t="s">
        <v>36</v>
      </c>
      <c r="E545" s="19">
        <v>1500</v>
      </c>
      <c r="F545" s="20"/>
      <c r="G545" s="29"/>
      <c r="H545" s="33"/>
      <c r="I545" s="29"/>
      <c r="J545" s="29" t="s">
        <v>35</v>
      </c>
      <c r="AA545" t="str">
        <f t="shared" si="8"/>
        <v>High Value Crops (Vegetables/Fruits/Rootcrops)</v>
      </c>
    </row>
    <row r="546" ht="30" customHeight="1" spans="1:27">
      <c r="A546" s="29" t="s">
        <v>25</v>
      </c>
      <c r="B546" s="29" t="s">
        <v>236</v>
      </c>
      <c r="C546" s="13" t="s">
        <v>282</v>
      </c>
      <c r="D546" s="29" t="s">
        <v>189</v>
      </c>
      <c r="E546" s="19">
        <v>400</v>
      </c>
      <c r="F546" s="20"/>
      <c r="G546" s="29"/>
      <c r="H546" s="33"/>
      <c r="I546" s="29"/>
      <c r="J546" s="29" t="s">
        <v>75</v>
      </c>
      <c r="AA546" t="str">
        <f t="shared" si="8"/>
        <v>Corn</v>
      </c>
    </row>
    <row r="547" ht="45" customHeight="1" spans="1:27">
      <c r="A547" s="29" t="s">
        <v>25</v>
      </c>
      <c r="B547" s="29" t="s">
        <v>236</v>
      </c>
      <c r="C547" s="13" t="s">
        <v>282</v>
      </c>
      <c r="D547" s="29" t="s">
        <v>249</v>
      </c>
      <c r="E547" s="19">
        <v>1000</v>
      </c>
      <c r="F547" s="20"/>
      <c r="G547" s="29"/>
      <c r="H547" s="33"/>
      <c r="I547" s="29"/>
      <c r="J547" s="29" t="s">
        <v>75</v>
      </c>
      <c r="AA547" t="str">
        <f t="shared" si="8"/>
        <v>Corn</v>
      </c>
    </row>
    <row r="548" ht="30" customHeight="1" spans="1:27">
      <c r="A548" s="29" t="s">
        <v>25</v>
      </c>
      <c r="B548" s="29" t="s">
        <v>236</v>
      </c>
      <c r="C548" s="13" t="s">
        <v>282</v>
      </c>
      <c r="D548" s="29" t="s">
        <v>281</v>
      </c>
      <c r="E548" s="19">
        <v>720</v>
      </c>
      <c r="F548" s="20"/>
      <c r="G548" s="29"/>
      <c r="H548" s="33"/>
      <c r="I548" s="29"/>
      <c r="J548" s="29" t="s">
        <v>75</v>
      </c>
      <c r="AA548" t="str">
        <f t="shared" si="8"/>
        <v>Corn</v>
      </c>
    </row>
    <row r="549" ht="30" customHeight="1" spans="1:27">
      <c r="A549" s="29" t="s">
        <v>25</v>
      </c>
      <c r="B549" s="29" t="s">
        <v>236</v>
      </c>
      <c r="C549" s="13" t="s">
        <v>282</v>
      </c>
      <c r="D549" s="29" t="s">
        <v>135</v>
      </c>
      <c r="E549" s="19">
        <v>400</v>
      </c>
      <c r="F549" s="20"/>
      <c r="G549" s="29"/>
      <c r="H549" s="33"/>
      <c r="I549" s="29"/>
      <c r="J549" s="29" t="s">
        <v>75</v>
      </c>
      <c r="AA549" t="str">
        <f t="shared" si="8"/>
        <v>Corn</v>
      </c>
    </row>
    <row r="550" ht="30" customHeight="1" spans="1:27">
      <c r="A550" s="29" t="s">
        <v>25</v>
      </c>
      <c r="B550" s="29" t="s">
        <v>236</v>
      </c>
      <c r="C550" s="13" t="s">
        <v>282</v>
      </c>
      <c r="D550" s="29" t="s">
        <v>136</v>
      </c>
      <c r="E550" s="19">
        <v>790.83</v>
      </c>
      <c r="F550" s="20"/>
      <c r="G550" s="29"/>
      <c r="H550" s="33"/>
      <c r="I550" s="29"/>
      <c r="J550" s="29" t="s">
        <v>75</v>
      </c>
      <c r="AA550" t="str">
        <f t="shared" si="8"/>
        <v>Corn</v>
      </c>
    </row>
    <row r="551" ht="30" customHeight="1" spans="1:27">
      <c r="A551" s="29" t="s">
        <v>25</v>
      </c>
      <c r="B551" s="29" t="s">
        <v>236</v>
      </c>
      <c r="C551" s="13" t="s">
        <v>282</v>
      </c>
      <c r="D551" s="29" t="s">
        <v>287</v>
      </c>
      <c r="E551" s="19">
        <v>500</v>
      </c>
      <c r="F551" s="20"/>
      <c r="G551" s="29"/>
      <c r="H551" s="33"/>
      <c r="I551" s="29"/>
      <c r="J551" s="29" t="s">
        <v>288</v>
      </c>
      <c r="AA551" t="str">
        <f t="shared" si="8"/>
        <v>Organic Agriculture</v>
      </c>
    </row>
    <row r="552" ht="30" customHeight="1" spans="1:27">
      <c r="A552" s="29" t="s">
        <v>25</v>
      </c>
      <c r="B552" s="29" t="s">
        <v>236</v>
      </c>
      <c r="C552" s="13" t="s">
        <v>282</v>
      </c>
      <c r="D552" s="29" t="s">
        <v>103</v>
      </c>
      <c r="E552" s="19">
        <v>2420</v>
      </c>
      <c r="F552" s="20"/>
      <c r="G552" s="29"/>
      <c r="H552" s="33"/>
      <c r="I552" s="29"/>
      <c r="J552" s="29" t="s">
        <v>75</v>
      </c>
      <c r="AA552" t="str">
        <f t="shared" si="8"/>
        <v>Corn</v>
      </c>
    </row>
    <row r="553" ht="30" customHeight="1" spans="1:27">
      <c r="A553" s="29" t="s">
        <v>25</v>
      </c>
      <c r="B553" s="29" t="s">
        <v>236</v>
      </c>
      <c r="C553" s="13" t="s">
        <v>282</v>
      </c>
      <c r="D553" s="29" t="s">
        <v>74</v>
      </c>
      <c r="E553" s="19">
        <v>9930</v>
      </c>
      <c r="F553" s="20"/>
      <c r="G553" s="29"/>
      <c r="H553" s="33"/>
      <c r="I553" s="29"/>
      <c r="J553" s="29" t="s">
        <v>75</v>
      </c>
      <c r="AA553" t="str">
        <f t="shared" si="8"/>
        <v>Corn</v>
      </c>
    </row>
    <row r="554" ht="30" customHeight="1" spans="1:27">
      <c r="A554" s="29" t="s">
        <v>25</v>
      </c>
      <c r="B554" s="29" t="s">
        <v>236</v>
      </c>
      <c r="C554" s="13" t="s">
        <v>282</v>
      </c>
      <c r="D554" s="29" t="s">
        <v>184</v>
      </c>
      <c r="E554" s="19">
        <v>200</v>
      </c>
      <c r="F554" s="20"/>
      <c r="G554" s="29"/>
      <c r="H554" s="33"/>
      <c r="I554" s="29"/>
      <c r="J554" s="29" t="s">
        <v>35</v>
      </c>
      <c r="AA554" t="str">
        <f t="shared" si="8"/>
        <v>High Value Crops (Vegetables/Fruits/Rootcrops)</v>
      </c>
    </row>
    <row r="555" ht="30" customHeight="1" spans="1:27">
      <c r="A555" s="29" t="s">
        <v>25</v>
      </c>
      <c r="B555" s="29" t="s">
        <v>236</v>
      </c>
      <c r="C555" s="13" t="s">
        <v>289</v>
      </c>
      <c r="D555" s="30" t="s">
        <v>290</v>
      </c>
      <c r="E555" s="19"/>
      <c r="F555" s="20">
        <v>20400</v>
      </c>
      <c r="G555" s="29"/>
      <c r="H555" s="29"/>
      <c r="I555" s="29"/>
      <c r="J555" s="29" t="s">
        <v>29</v>
      </c>
      <c r="AA555" t="str">
        <f t="shared" si="8"/>
        <v>Farm-to-Market Road</v>
      </c>
    </row>
    <row r="556" ht="30" customHeight="1" spans="1:27">
      <c r="A556" s="29" t="s">
        <v>25</v>
      </c>
      <c r="B556" s="29" t="s">
        <v>236</v>
      </c>
      <c r="C556" s="13" t="s">
        <v>289</v>
      </c>
      <c r="D556" s="30" t="s">
        <v>291</v>
      </c>
      <c r="E556" s="19">
        <v>19500</v>
      </c>
      <c r="F556" s="20"/>
      <c r="G556" s="29"/>
      <c r="H556" s="29"/>
      <c r="I556" s="29"/>
      <c r="J556" s="29" t="s">
        <v>29</v>
      </c>
      <c r="AA556" t="str">
        <f t="shared" si="8"/>
        <v>Farm-to-Market Road</v>
      </c>
    </row>
    <row r="557" ht="30" customHeight="1" spans="1:27">
      <c r="A557" s="29" t="s">
        <v>25</v>
      </c>
      <c r="B557" s="29" t="s">
        <v>236</v>
      </c>
      <c r="C557" s="13" t="s">
        <v>289</v>
      </c>
      <c r="D557" s="30" t="s">
        <v>292</v>
      </c>
      <c r="E557" s="19"/>
      <c r="F557" s="20">
        <v>22500</v>
      </c>
      <c r="G557" s="29"/>
      <c r="H557" s="29"/>
      <c r="I557" s="29"/>
      <c r="J557" s="29" t="s">
        <v>29</v>
      </c>
      <c r="AA557" t="str">
        <f t="shared" si="8"/>
        <v>Farm-to-Market Road</v>
      </c>
    </row>
    <row r="558" ht="30" customHeight="1" spans="1:27">
      <c r="A558" s="29" t="s">
        <v>25</v>
      </c>
      <c r="B558" s="29" t="s">
        <v>236</v>
      </c>
      <c r="C558" s="13" t="s">
        <v>289</v>
      </c>
      <c r="D558" s="29" t="s">
        <v>240</v>
      </c>
      <c r="E558" s="23">
        <v>13122.605</v>
      </c>
      <c r="F558" s="24">
        <v>1204.7708</v>
      </c>
      <c r="G558" s="29"/>
      <c r="H558" s="33"/>
      <c r="I558" s="33"/>
      <c r="J558" s="29" t="s">
        <v>64</v>
      </c>
      <c r="AA558" t="str">
        <f t="shared" si="8"/>
        <v>Rice</v>
      </c>
    </row>
    <row r="559" ht="30" customHeight="1" spans="1:27">
      <c r="A559" s="29" t="s">
        <v>25</v>
      </c>
      <c r="B559" s="29" t="s">
        <v>236</v>
      </c>
      <c r="C559" s="13" t="s">
        <v>289</v>
      </c>
      <c r="D559" s="29" t="s">
        <v>90</v>
      </c>
      <c r="E559" s="19">
        <v>2444</v>
      </c>
      <c r="F559" s="20">
        <v>32643</v>
      </c>
      <c r="G559" s="29"/>
      <c r="H559" s="33"/>
      <c r="I559" s="33"/>
      <c r="J559" s="29" t="s">
        <v>75</v>
      </c>
      <c r="AA559" t="str">
        <f t="shared" si="8"/>
        <v>Corn</v>
      </c>
    </row>
    <row r="560" ht="30" customHeight="1" spans="1:27">
      <c r="A560" s="29" t="s">
        <v>25</v>
      </c>
      <c r="B560" s="29" t="s">
        <v>236</v>
      </c>
      <c r="C560" s="13" t="s">
        <v>289</v>
      </c>
      <c r="D560" s="29" t="s">
        <v>70</v>
      </c>
      <c r="E560" s="23">
        <v>59051.7224</v>
      </c>
      <c r="F560" s="20"/>
      <c r="G560" s="29"/>
      <c r="H560" s="33"/>
      <c r="I560" s="29"/>
      <c r="J560" s="29" t="s">
        <v>64</v>
      </c>
      <c r="AA560" t="str">
        <f t="shared" si="8"/>
        <v>Rice</v>
      </c>
    </row>
    <row r="561" ht="30" customHeight="1" spans="1:27">
      <c r="A561" s="29" t="s">
        <v>25</v>
      </c>
      <c r="B561" s="29" t="s">
        <v>236</v>
      </c>
      <c r="C561" s="13" t="s">
        <v>289</v>
      </c>
      <c r="D561" s="29" t="s">
        <v>71</v>
      </c>
      <c r="E561" s="23">
        <v>3800.1484</v>
      </c>
      <c r="F561" s="20"/>
      <c r="G561" s="29"/>
      <c r="H561" s="33"/>
      <c r="I561" s="29"/>
      <c r="J561" s="29" t="s">
        <v>64</v>
      </c>
      <c r="AA561" t="str">
        <f t="shared" si="8"/>
        <v>Rice</v>
      </c>
    </row>
    <row r="562" ht="30" customHeight="1" spans="1:27">
      <c r="A562" s="29" t="s">
        <v>25</v>
      </c>
      <c r="B562" s="29" t="s">
        <v>236</v>
      </c>
      <c r="C562" s="13" t="s">
        <v>289</v>
      </c>
      <c r="D562" s="29" t="s">
        <v>119</v>
      </c>
      <c r="E562" s="19">
        <v>200</v>
      </c>
      <c r="F562" s="20"/>
      <c r="G562" s="29"/>
      <c r="H562" s="33"/>
      <c r="I562" s="29"/>
      <c r="J562" s="29" t="s">
        <v>96</v>
      </c>
      <c r="AA562" t="str">
        <f t="shared" si="8"/>
        <v>Corn</v>
      </c>
    </row>
    <row r="563" ht="30" customHeight="1" spans="1:27">
      <c r="A563" s="29" t="s">
        <v>25</v>
      </c>
      <c r="B563" s="29" t="s">
        <v>236</v>
      </c>
      <c r="C563" s="13" t="s">
        <v>289</v>
      </c>
      <c r="D563" s="29" t="s">
        <v>120</v>
      </c>
      <c r="E563" s="19">
        <v>200</v>
      </c>
      <c r="F563" s="20"/>
      <c r="G563" s="29"/>
      <c r="H563" s="33"/>
      <c r="I563" s="29"/>
      <c r="J563" s="29" t="s">
        <v>75</v>
      </c>
      <c r="AA563" t="str">
        <f t="shared" si="8"/>
        <v>Corn</v>
      </c>
    </row>
    <row r="564" ht="30" customHeight="1" spans="1:27">
      <c r="A564" s="29" t="s">
        <v>25</v>
      </c>
      <c r="B564" s="29" t="s">
        <v>236</v>
      </c>
      <c r="C564" s="13" t="s">
        <v>289</v>
      </c>
      <c r="D564" s="29" t="s">
        <v>136</v>
      </c>
      <c r="E564" s="19">
        <v>121.67</v>
      </c>
      <c r="F564" s="20"/>
      <c r="G564" s="29"/>
      <c r="H564" s="33"/>
      <c r="I564" s="29"/>
      <c r="J564" s="29" t="s">
        <v>75</v>
      </c>
      <c r="AA564" t="str">
        <f t="shared" si="8"/>
        <v>Corn</v>
      </c>
    </row>
    <row r="565" ht="30" customHeight="1" spans="1:27">
      <c r="A565" s="29" t="s">
        <v>25</v>
      </c>
      <c r="B565" s="29" t="s">
        <v>236</v>
      </c>
      <c r="C565" s="13" t="s">
        <v>289</v>
      </c>
      <c r="D565" s="29" t="s">
        <v>74</v>
      </c>
      <c r="E565" s="19">
        <v>2820</v>
      </c>
      <c r="F565" s="20"/>
      <c r="G565" s="29"/>
      <c r="H565" s="33"/>
      <c r="I565" s="29"/>
      <c r="J565" s="29" t="s">
        <v>75</v>
      </c>
      <c r="AA565" t="str">
        <f t="shared" si="8"/>
        <v>Corn</v>
      </c>
    </row>
    <row r="566" ht="30" customHeight="1" spans="1:27">
      <c r="A566" s="29" t="s">
        <v>25</v>
      </c>
      <c r="B566" s="29" t="s">
        <v>236</v>
      </c>
      <c r="C566" s="13" t="s">
        <v>293</v>
      </c>
      <c r="D566" s="29" t="s">
        <v>77</v>
      </c>
      <c r="E566" s="19"/>
      <c r="F566" s="20">
        <v>1800</v>
      </c>
      <c r="G566" s="29"/>
      <c r="H566" s="29"/>
      <c r="I566" s="33"/>
      <c r="J566" s="29" t="s">
        <v>75</v>
      </c>
      <c r="AA566" t="str">
        <f t="shared" si="8"/>
        <v>Corn</v>
      </c>
    </row>
    <row r="567" ht="30" customHeight="1" spans="1:27">
      <c r="A567" s="29" t="s">
        <v>25</v>
      </c>
      <c r="B567" s="29" t="s">
        <v>236</v>
      </c>
      <c r="C567" s="13" t="s">
        <v>293</v>
      </c>
      <c r="D567" s="29" t="s">
        <v>78</v>
      </c>
      <c r="E567" s="19"/>
      <c r="F567" s="20">
        <v>360</v>
      </c>
      <c r="G567" s="29"/>
      <c r="H567" s="29"/>
      <c r="I567" s="33"/>
      <c r="J567" s="29" t="s">
        <v>75</v>
      </c>
      <c r="AA567" t="str">
        <f t="shared" si="8"/>
        <v>Corn</v>
      </c>
    </row>
    <row r="568" ht="30" customHeight="1" spans="1:27">
      <c r="A568" s="29" t="s">
        <v>25</v>
      </c>
      <c r="B568" s="29" t="s">
        <v>236</v>
      </c>
      <c r="C568" s="13" t="s">
        <v>293</v>
      </c>
      <c r="D568" s="29" t="s">
        <v>125</v>
      </c>
      <c r="E568" s="19">
        <v>1560</v>
      </c>
      <c r="F568" s="20"/>
      <c r="G568" s="29"/>
      <c r="H568" s="33"/>
      <c r="I568" s="29"/>
      <c r="J568" s="29" t="s">
        <v>75</v>
      </c>
      <c r="AA568" t="str">
        <f t="shared" si="8"/>
        <v>Corn</v>
      </c>
    </row>
    <row r="569" ht="30" customHeight="1" spans="1:27">
      <c r="A569" s="29" t="s">
        <v>25</v>
      </c>
      <c r="B569" s="29" t="s">
        <v>236</v>
      </c>
      <c r="C569" s="13" t="s">
        <v>293</v>
      </c>
      <c r="D569" s="29" t="s">
        <v>112</v>
      </c>
      <c r="E569" s="19">
        <v>2100</v>
      </c>
      <c r="F569" s="20"/>
      <c r="G569" s="29"/>
      <c r="H569" s="33"/>
      <c r="I569" s="29"/>
      <c r="J569" s="29" t="s">
        <v>96</v>
      </c>
      <c r="AA569" t="str">
        <f t="shared" si="8"/>
        <v>Corn</v>
      </c>
    </row>
    <row r="570" ht="30" customHeight="1" spans="1:27">
      <c r="A570" s="29" t="s">
        <v>25</v>
      </c>
      <c r="B570" s="29" t="s">
        <v>236</v>
      </c>
      <c r="C570" s="13" t="s">
        <v>293</v>
      </c>
      <c r="D570" s="30" t="s">
        <v>294</v>
      </c>
      <c r="E570" s="19"/>
      <c r="F570" s="20">
        <v>25500</v>
      </c>
      <c r="G570" s="29"/>
      <c r="H570" s="29"/>
      <c r="I570" s="29"/>
      <c r="J570" s="29" t="s">
        <v>29</v>
      </c>
      <c r="AA570" t="str">
        <f t="shared" si="8"/>
        <v>Farm-to-Market Road</v>
      </c>
    </row>
    <row r="571" ht="30" customHeight="1" spans="1:27">
      <c r="A571" s="29" t="s">
        <v>25</v>
      </c>
      <c r="B571" s="29" t="s">
        <v>236</v>
      </c>
      <c r="C571" s="13" t="s">
        <v>293</v>
      </c>
      <c r="D571" s="30" t="s">
        <v>295</v>
      </c>
      <c r="E571" s="19"/>
      <c r="F571" s="20">
        <v>26250</v>
      </c>
      <c r="G571" s="29"/>
      <c r="H571" s="29"/>
      <c r="I571" s="29"/>
      <c r="J571" s="29" t="s">
        <v>29</v>
      </c>
      <c r="AA571" t="str">
        <f t="shared" si="8"/>
        <v>Farm-to-Market Road</v>
      </c>
    </row>
    <row r="572" ht="30" customHeight="1" spans="1:27">
      <c r="A572" s="29" t="s">
        <v>25</v>
      </c>
      <c r="B572" s="29" t="s">
        <v>236</v>
      </c>
      <c r="C572" s="13" t="s">
        <v>293</v>
      </c>
      <c r="D572" s="29" t="s">
        <v>114</v>
      </c>
      <c r="E572" s="19">
        <v>2100</v>
      </c>
      <c r="F572" s="20"/>
      <c r="G572" s="29"/>
      <c r="H572" s="33"/>
      <c r="I572" s="29"/>
      <c r="J572" s="29" t="s">
        <v>75</v>
      </c>
      <c r="AA572" t="str">
        <f t="shared" si="8"/>
        <v>Corn</v>
      </c>
    </row>
    <row r="573" ht="30" customHeight="1" spans="1:27">
      <c r="A573" s="29" t="s">
        <v>25</v>
      </c>
      <c r="B573" s="29" t="s">
        <v>236</v>
      </c>
      <c r="C573" s="13" t="s">
        <v>293</v>
      </c>
      <c r="D573" s="29" t="s">
        <v>248</v>
      </c>
      <c r="E573" s="19">
        <v>900</v>
      </c>
      <c r="F573" s="20"/>
      <c r="G573" s="29"/>
      <c r="H573" s="33"/>
      <c r="I573" s="29"/>
      <c r="J573" s="29" t="s">
        <v>96</v>
      </c>
      <c r="AA573" t="str">
        <f t="shared" si="8"/>
        <v>Corn</v>
      </c>
    </row>
    <row r="574" ht="30" customHeight="1" spans="1:27">
      <c r="A574" s="29" t="s">
        <v>25</v>
      </c>
      <c r="B574" s="29" t="s">
        <v>236</v>
      </c>
      <c r="C574" s="13" t="s">
        <v>293</v>
      </c>
      <c r="D574" s="29" t="s">
        <v>90</v>
      </c>
      <c r="E574" s="19"/>
      <c r="F574" s="20"/>
      <c r="G574" s="29"/>
      <c r="H574" s="33"/>
      <c r="I574" s="33"/>
      <c r="J574" s="29" t="s">
        <v>75</v>
      </c>
      <c r="AA574" t="str">
        <f t="shared" si="8"/>
        <v>Corn</v>
      </c>
    </row>
    <row r="575" ht="30" customHeight="1" spans="1:27">
      <c r="A575" s="29" t="s">
        <v>25</v>
      </c>
      <c r="B575" s="29" t="s">
        <v>236</v>
      </c>
      <c r="C575" s="13" t="s">
        <v>293</v>
      </c>
      <c r="D575" s="29" t="s">
        <v>173</v>
      </c>
      <c r="E575" s="19"/>
      <c r="F575" s="20"/>
      <c r="G575" s="29"/>
      <c r="H575" s="29"/>
      <c r="I575" s="33"/>
      <c r="J575" s="29" t="s">
        <v>75</v>
      </c>
      <c r="AA575" t="str">
        <f t="shared" si="8"/>
        <v>Corn</v>
      </c>
    </row>
    <row r="576" ht="30" customHeight="1" spans="1:27">
      <c r="A576" s="29" t="s">
        <v>25</v>
      </c>
      <c r="B576" s="29" t="s">
        <v>236</v>
      </c>
      <c r="C576" s="13" t="s">
        <v>293</v>
      </c>
      <c r="D576" s="29" t="s">
        <v>91</v>
      </c>
      <c r="E576" s="19"/>
      <c r="F576" s="20">
        <v>6600</v>
      </c>
      <c r="G576" s="29"/>
      <c r="H576" s="29"/>
      <c r="I576" s="33"/>
      <c r="J576" s="29" t="s">
        <v>75</v>
      </c>
      <c r="AA576" t="str">
        <f t="shared" si="8"/>
        <v>Corn</v>
      </c>
    </row>
    <row r="577" ht="30" customHeight="1" spans="1:27">
      <c r="A577" s="29" t="s">
        <v>25</v>
      </c>
      <c r="B577" s="29" t="s">
        <v>236</v>
      </c>
      <c r="C577" s="13" t="s">
        <v>293</v>
      </c>
      <c r="D577" s="29" t="s">
        <v>119</v>
      </c>
      <c r="E577" s="19">
        <v>200</v>
      </c>
      <c r="F577" s="20"/>
      <c r="G577" s="29"/>
      <c r="H577" s="33"/>
      <c r="I577" s="29"/>
      <c r="J577" s="29" t="s">
        <v>96</v>
      </c>
      <c r="AA577" t="str">
        <f t="shared" si="8"/>
        <v>Corn</v>
      </c>
    </row>
    <row r="578" ht="30" customHeight="1" spans="1:27">
      <c r="A578" s="29" t="s">
        <v>25</v>
      </c>
      <c r="B578" s="29" t="s">
        <v>236</v>
      </c>
      <c r="C578" s="13" t="s">
        <v>293</v>
      </c>
      <c r="D578" s="29" t="s">
        <v>120</v>
      </c>
      <c r="E578" s="19">
        <v>200</v>
      </c>
      <c r="F578" s="20"/>
      <c r="G578" s="29"/>
      <c r="H578" s="33"/>
      <c r="I578" s="29"/>
      <c r="J578" s="29" t="s">
        <v>75</v>
      </c>
      <c r="AA578" t="str">
        <f t="shared" si="8"/>
        <v>Corn</v>
      </c>
    </row>
    <row r="579" ht="30" customHeight="1" spans="1:27">
      <c r="A579" s="29" t="s">
        <v>25</v>
      </c>
      <c r="B579" s="29" t="s">
        <v>236</v>
      </c>
      <c r="C579" s="13" t="s">
        <v>293</v>
      </c>
      <c r="D579" s="29" t="s">
        <v>147</v>
      </c>
      <c r="E579" s="19">
        <v>4500</v>
      </c>
      <c r="F579" s="20"/>
      <c r="G579" s="29"/>
      <c r="H579" s="33"/>
      <c r="I579" s="29"/>
      <c r="J579" s="29" t="s">
        <v>75</v>
      </c>
      <c r="AA579" t="str">
        <f t="shared" si="8"/>
        <v>Corn</v>
      </c>
    </row>
    <row r="580" ht="30" customHeight="1" spans="1:27">
      <c r="A580" s="29" t="s">
        <v>25</v>
      </c>
      <c r="B580" s="29" t="s">
        <v>236</v>
      </c>
      <c r="C580" s="13" t="s">
        <v>293</v>
      </c>
      <c r="D580" s="29" t="s">
        <v>127</v>
      </c>
      <c r="E580" s="19">
        <v>220</v>
      </c>
      <c r="F580" s="20"/>
      <c r="G580" s="29"/>
      <c r="H580" s="33"/>
      <c r="I580" s="29"/>
      <c r="J580" s="29" t="s">
        <v>75</v>
      </c>
      <c r="AA580" t="str">
        <f t="shared" si="8"/>
        <v>Corn</v>
      </c>
    </row>
    <row r="581" ht="30" customHeight="1" spans="1:27">
      <c r="A581" s="29" t="s">
        <v>25</v>
      </c>
      <c r="B581" s="29" t="s">
        <v>236</v>
      </c>
      <c r="C581" s="13" t="s">
        <v>293</v>
      </c>
      <c r="D581" s="29" t="s">
        <v>244</v>
      </c>
      <c r="E581" s="19">
        <v>1300</v>
      </c>
      <c r="F581" s="20"/>
      <c r="G581" s="29"/>
      <c r="H581" s="33"/>
      <c r="I581" s="29"/>
      <c r="J581" s="29" t="s">
        <v>75</v>
      </c>
      <c r="AA581" t="str">
        <f t="shared" si="8"/>
        <v>Corn</v>
      </c>
    </row>
    <row r="582" ht="30" customHeight="1" spans="1:27">
      <c r="A582" s="29" t="s">
        <v>25</v>
      </c>
      <c r="B582" s="29" t="s">
        <v>236</v>
      </c>
      <c r="C582" s="13" t="s">
        <v>293</v>
      </c>
      <c r="D582" s="29" t="s">
        <v>249</v>
      </c>
      <c r="E582" s="19">
        <v>1000</v>
      </c>
      <c r="F582" s="20"/>
      <c r="G582" s="29"/>
      <c r="H582" s="33"/>
      <c r="I582" s="29"/>
      <c r="J582" s="29" t="s">
        <v>75</v>
      </c>
      <c r="AA582" t="str">
        <f t="shared" si="8"/>
        <v>Corn</v>
      </c>
    </row>
    <row r="583" ht="30" customHeight="1" spans="1:27">
      <c r="A583" s="29" t="s">
        <v>25</v>
      </c>
      <c r="B583" s="29" t="s">
        <v>236</v>
      </c>
      <c r="C583" s="13" t="s">
        <v>293</v>
      </c>
      <c r="D583" s="29" t="s">
        <v>281</v>
      </c>
      <c r="E583" s="19">
        <v>720</v>
      </c>
      <c r="F583" s="20"/>
      <c r="G583" s="29"/>
      <c r="H583" s="33"/>
      <c r="I583" s="29"/>
      <c r="J583" s="29" t="s">
        <v>75</v>
      </c>
      <c r="AA583" t="str">
        <f t="shared" si="8"/>
        <v>Corn</v>
      </c>
    </row>
    <row r="584" ht="30" customHeight="1" spans="1:27">
      <c r="A584" s="29" t="s">
        <v>25</v>
      </c>
      <c r="B584" s="29" t="s">
        <v>236</v>
      </c>
      <c r="C584" s="13" t="s">
        <v>293</v>
      </c>
      <c r="D584" s="29" t="s">
        <v>250</v>
      </c>
      <c r="E584" s="19">
        <v>900</v>
      </c>
      <c r="F584" s="20"/>
      <c r="G584" s="29"/>
      <c r="H584" s="33"/>
      <c r="I584" s="29"/>
      <c r="J584" s="29" t="s">
        <v>75</v>
      </c>
      <c r="AA584" t="str">
        <f t="shared" si="8"/>
        <v>Corn</v>
      </c>
    </row>
    <row r="585" ht="30" customHeight="1" spans="1:27">
      <c r="A585" s="29" t="s">
        <v>25</v>
      </c>
      <c r="B585" s="29" t="s">
        <v>236</v>
      </c>
      <c r="C585" s="13" t="s">
        <v>293</v>
      </c>
      <c r="D585" s="29" t="s">
        <v>103</v>
      </c>
      <c r="E585" s="19"/>
      <c r="F585" s="20"/>
      <c r="G585" s="29"/>
      <c r="H585" s="33"/>
      <c r="I585" s="29"/>
      <c r="J585" s="29" t="s">
        <v>75</v>
      </c>
      <c r="AA585" t="str">
        <f t="shared" si="8"/>
        <v>Corn</v>
      </c>
    </row>
    <row r="586" ht="30" customHeight="1" spans="1:27">
      <c r="A586" s="29" t="s">
        <v>25</v>
      </c>
      <c r="B586" s="29" t="s">
        <v>236</v>
      </c>
      <c r="C586" s="13" t="s">
        <v>293</v>
      </c>
      <c r="D586" s="29" t="s">
        <v>74</v>
      </c>
      <c r="E586" s="19"/>
      <c r="F586" s="20"/>
      <c r="G586" s="29"/>
      <c r="H586" s="33"/>
      <c r="I586" s="29"/>
      <c r="J586" s="29" t="s">
        <v>75</v>
      </c>
      <c r="AA586" t="str">
        <f t="shared" ref="AA586:AA649" si="9">_xlfn.IFS(J586="DA-FMRDP","Farm-to-Market Road",J586="DA-RFO2 RICE","Rice",J586="DA-RFO2 Rice Program","Rice",J586="DA-RFO2 CORN","Corn",J586="DA-RFO2 Corn Program","Corn",J586="DA-RFO2 HVCDP","High Value Crops (Vegetables/Fruits/Rootcrops)",J586="DA-RFO2 HVCDP Export","High Value Export Crops (Dragon Fruit/Ube/Okra/Banana)",J586="DA-RFO2 HVCDP Coffee","Coffee (HVCDP)",J586="DA-RFO2 LIVESTOCK","Livestock (Cattle/Carabao/Swine/Poultry)",J586="DA-RFO2 SAAD","Various Commodities (SAAD)",J586="DA-RFO2 4K","Various Commodities (4Ks)",J586="DA-RFO2 4KS","Various Commodities (4Ks)",J586="DA-RFO2 HALAL","Halal Food Products",J586="DA-RFO2 OAP","Organic Agriculture",J586="DA-RFO2 NUPAP","Vegetables (NUPAP/Urban Agri)",TRUE,IF(ISNUMBER(SEARCH("FMR",D586)),"Farm-to-Market Road",IF(ISNUMBER(SEARCH("RICE",D586)),"Rice",IF(ISNUMBER(SEARCH("CORN",D586)),"Corn",IF(ISNUMBER(SEARCH("HVCDP COFFEE",D586)),"Coffee (HVCDP)",IF(ISNUMBER(SEARCH("HVCDP EXPORT",D586)),"High Value Export Crops (Dragon Fruit/Ube/Okra/Banana)",IF(ISNUMBER(SEARCH("HVCDP",D586)),"High Value Crops (Vegetables/Fruits/Rootcrops)",IF(ISNUMBER(SEARCH("LIVESTOCK",D586)),"Livestock (Cattle/Carabao/Swine/Poultry)",IF(ISNUMBER(SEARCH("SAAD",D586)),"Various Commodities (SAAD)",IF(ISNUMBER(SEARCH("4KS",D586)),"Various Commodities (4Ks)",IF(ISNUMBER(SEARCH("4K",D586)),"Various Commodities (4Ks)",IF(ISNUMBER(SEARCH("HALAL",D586)),"Halal Food Products",IF(ISNUMBER(SEARCH("OAP",D586)),"Organic Agriculture",IF(ISNUMBER(SEARCH("NUPAP",D586)),"Vegetables (NUPAP/Urban Agri)",""))))))))))))))</f>
        <v>Corn</v>
      </c>
    </row>
    <row r="587" ht="45" customHeight="1" spans="1:27">
      <c r="A587" s="29" t="s">
        <v>25</v>
      </c>
      <c r="B587" s="29" t="s">
        <v>236</v>
      </c>
      <c r="C587" s="13" t="s">
        <v>296</v>
      </c>
      <c r="D587" s="29" t="s">
        <v>240</v>
      </c>
      <c r="E587" s="23">
        <v>693.1029</v>
      </c>
      <c r="F587" s="24">
        <v>63.633</v>
      </c>
      <c r="G587" s="29"/>
      <c r="H587" s="33"/>
      <c r="I587" s="33"/>
      <c r="J587" s="29" t="s">
        <v>64</v>
      </c>
      <c r="AA587" t="str">
        <f t="shared" si="9"/>
        <v>Rice</v>
      </c>
    </row>
    <row r="588" ht="45" customHeight="1" spans="1:27">
      <c r="A588" s="29" t="s">
        <v>25</v>
      </c>
      <c r="B588" s="29" t="s">
        <v>236</v>
      </c>
      <c r="C588" s="13" t="s">
        <v>296</v>
      </c>
      <c r="D588" s="29" t="s">
        <v>171</v>
      </c>
      <c r="E588" s="19">
        <v>30.4</v>
      </c>
      <c r="F588" s="20"/>
      <c r="G588" s="29"/>
      <c r="H588" s="33"/>
      <c r="I588" s="29"/>
      <c r="J588" s="29" t="s">
        <v>166</v>
      </c>
      <c r="AA588" t="str">
        <f t="shared" si="9"/>
        <v>Various Commodities (4Ks)</v>
      </c>
    </row>
    <row r="589" ht="30" customHeight="1" spans="1:27">
      <c r="A589" s="29" t="s">
        <v>25</v>
      </c>
      <c r="B589" s="29" t="s">
        <v>236</v>
      </c>
      <c r="C589" s="13" t="s">
        <v>296</v>
      </c>
      <c r="D589" s="29" t="s">
        <v>172</v>
      </c>
      <c r="E589" s="19">
        <v>25</v>
      </c>
      <c r="F589" s="20"/>
      <c r="G589" s="29"/>
      <c r="H589" s="33"/>
      <c r="I589" s="29"/>
      <c r="J589" s="29" t="s">
        <v>166</v>
      </c>
      <c r="AA589" t="str">
        <f t="shared" si="9"/>
        <v>Various Commodities (4Ks)</v>
      </c>
    </row>
    <row r="590" ht="30" customHeight="1" spans="1:27">
      <c r="A590" s="29" t="s">
        <v>25</v>
      </c>
      <c r="B590" s="29" t="s">
        <v>236</v>
      </c>
      <c r="C590" s="13" t="s">
        <v>296</v>
      </c>
      <c r="D590" s="29" t="s">
        <v>90</v>
      </c>
      <c r="E590" s="19"/>
      <c r="F590" s="20"/>
      <c r="G590" s="29"/>
      <c r="H590" s="33"/>
      <c r="I590" s="33"/>
      <c r="J590" s="29" t="s">
        <v>75</v>
      </c>
      <c r="AA590" t="str">
        <f t="shared" si="9"/>
        <v>Corn</v>
      </c>
    </row>
    <row r="591" ht="30" customHeight="1" spans="1:27">
      <c r="A591" s="29" t="s">
        <v>25</v>
      </c>
      <c r="B591" s="29" t="s">
        <v>236</v>
      </c>
      <c r="C591" s="13" t="s">
        <v>296</v>
      </c>
      <c r="D591" s="29" t="s">
        <v>70</v>
      </c>
      <c r="E591" s="23">
        <v>3118.963</v>
      </c>
      <c r="F591" s="20"/>
      <c r="G591" s="29"/>
      <c r="H591" s="33"/>
      <c r="I591" s="29"/>
      <c r="J591" s="29" t="s">
        <v>64</v>
      </c>
      <c r="AA591" t="str">
        <f t="shared" si="9"/>
        <v>Rice</v>
      </c>
    </row>
    <row r="592" ht="30" customHeight="1" spans="1:27">
      <c r="A592" s="29" t="s">
        <v>25</v>
      </c>
      <c r="B592" s="29" t="s">
        <v>236</v>
      </c>
      <c r="C592" s="13" t="s">
        <v>296</v>
      </c>
      <c r="D592" s="29" t="s">
        <v>71</v>
      </c>
      <c r="E592" s="23">
        <v>200.7143</v>
      </c>
      <c r="F592" s="20"/>
      <c r="G592" s="29"/>
      <c r="H592" s="33"/>
      <c r="I592" s="29"/>
      <c r="J592" s="29" t="s">
        <v>64</v>
      </c>
      <c r="AA592" t="str">
        <f t="shared" si="9"/>
        <v>Rice</v>
      </c>
    </row>
    <row r="593" ht="30" customHeight="1" spans="1:27">
      <c r="A593" s="29" t="s">
        <v>25</v>
      </c>
      <c r="B593" s="29" t="s">
        <v>236</v>
      </c>
      <c r="C593" s="13" t="s">
        <v>296</v>
      </c>
      <c r="D593" s="29" t="s">
        <v>174</v>
      </c>
      <c r="E593" s="19">
        <v>10</v>
      </c>
      <c r="F593" s="20"/>
      <c r="G593" s="29"/>
      <c r="H593" s="33"/>
      <c r="I593" s="29"/>
      <c r="J593" s="29" t="s">
        <v>166</v>
      </c>
      <c r="AA593" t="str">
        <f t="shared" si="9"/>
        <v>Various Commodities (4Ks)</v>
      </c>
    </row>
    <row r="594" ht="30" customHeight="1" spans="1:27">
      <c r="A594" s="29" t="s">
        <v>25</v>
      </c>
      <c r="B594" s="29" t="s">
        <v>236</v>
      </c>
      <c r="C594" s="13" t="s">
        <v>296</v>
      </c>
      <c r="D594" s="29" t="s">
        <v>175</v>
      </c>
      <c r="E594" s="19">
        <v>74.168</v>
      </c>
      <c r="F594" s="20"/>
      <c r="G594" s="29"/>
      <c r="H594" s="33"/>
      <c r="I594" s="29"/>
      <c r="J594" s="29" t="s">
        <v>166</v>
      </c>
      <c r="AA594" t="str">
        <f t="shared" si="9"/>
        <v>Various Commodities (4Ks)</v>
      </c>
    </row>
    <row r="595" ht="30" customHeight="1" spans="1:27">
      <c r="A595" s="29" t="s">
        <v>25</v>
      </c>
      <c r="B595" s="29" t="s">
        <v>236</v>
      </c>
      <c r="C595" s="13" t="s">
        <v>296</v>
      </c>
      <c r="D595" s="29" t="s">
        <v>177</v>
      </c>
      <c r="E595" s="19">
        <v>20</v>
      </c>
      <c r="F595" s="20"/>
      <c r="G595" s="29"/>
      <c r="H595" s="33"/>
      <c r="I595" s="29"/>
      <c r="J595" s="29" t="s">
        <v>166</v>
      </c>
      <c r="AA595" t="str">
        <f t="shared" si="9"/>
        <v>Various Commodities (4Ks)</v>
      </c>
    </row>
    <row r="596" ht="30" customHeight="1" spans="1:27">
      <c r="A596" s="29" t="s">
        <v>25</v>
      </c>
      <c r="B596" s="29" t="s">
        <v>236</v>
      </c>
      <c r="C596" s="13" t="s">
        <v>296</v>
      </c>
      <c r="D596" s="29" t="s">
        <v>297</v>
      </c>
      <c r="E596" s="19">
        <v>100</v>
      </c>
      <c r="F596" s="20"/>
      <c r="G596" s="29"/>
      <c r="H596" s="33"/>
      <c r="I596" s="29"/>
      <c r="J596" s="29" t="s">
        <v>166</v>
      </c>
      <c r="AA596" t="str">
        <f t="shared" si="9"/>
        <v>Various Commodities (4Ks)</v>
      </c>
    </row>
    <row r="597" ht="30" customHeight="1" spans="1:27">
      <c r="A597" s="29" t="s">
        <v>25</v>
      </c>
      <c r="B597" s="29" t="s">
        <v>236</v>
      </c>
      <c r="C597" s="13" t="s">
        <v>296</v>
      </c>
      <c r="D597" s="29" t="s">
        <v>180</v>
      </c>
      <c r="E597" s="19">
        <v>300</v>
      </c>
      <c r="F597" s="20"/>
      <c r="G597" s="29"/>
      <c r="H597" s="33"/>
      <c r="I597" s="29"/>
      <c r="J597" s="29" t="s">
        <v>166</v>
      </c>
      <c r="AA597" t="str">
        <f t="shared" si="9"/>
        <v>Various Commodities (4Ks)</v>
      </c>
    </row>
    <row r="598" ht="30" customHeight="1" spans="1:27">
      <c r="A598" s="29" t="s">
        <v>25</v>
      </c>
      <c r="B598" s="29" t="s">
        <v>236</v>
      </c>
      <c r="C598" s="13" t="s">
        <v>296</v>
      </c>
      <c r="D598" s="29" t="s">
        <v>181</v>
      </c>
      <c r="E598" s="19">
        <v>30</v>
      </c>
      <c r="F598" s="20"/>
      <c r="G598" s="29"/>
      <c r="H598" s="33"/>
      <c r="I598" s="29"/>
      <c r="J598" s="29" t="s">
        <v>166</v>
      </c>
      <c r="AA598" t="str">
        <f t="shared" si="9"/>
        <v>Various Commodities (4Ks)</v>
      </c>
    </row>
    <row r="599" ht="30" customHeight="1" spans="1:27">
      <c r="A599" s="29" t="s">
        <v>25</v>
      </c>
      <c r="B599" s="29" t="s">
        <v>236</v>
      </c>
      <c r="C599" s="13" t="s">
        <v>298</v>
      </c>
      <c r="D599" s="29" t="s">
        <v>240</v>
      </c>
      <c r="E599" s="23">
        <v>1612.1133</v>
      </c>
      <c r="F599" s="24">
        <v>148.0062</v>
      </c>
      <c r="G599" s="29"/>
      <c r="H599" s="33"/>
      <c r="I599" s="33"/>
      <c r="J599" s="29" t="s">
        <v>64</v>
      </c>
      <c r="AA599" t="str">
        <f t="shared" si="9"/>
        <v>Rice</v>
      </c>
    </row>
    <row r="600" ht="30" customHeight="1" spans="1:27">
      <c r="A600" s="29" t="s">
        <v>25</v>
      </c>
      <c r="B600" s="29" t="s">
        <v>236</v>
      </c>
      <c r="C600" s="13" t="s">
        <v>298</v>
      </c>
      <c r="D600" s="29" t="s">
        <v>70</v>
      </c>
      <c r="E600" s="23">
        <v>7254.5097</v>
      </c>
      <c r="F600" s="20"/>
      <c r="G600" s="29"/>
      <c r="H600" s="33"/>
      <c r="I600" s="29"/>
      <c r="J600" s="29" t="s">
        <v>64</v>
      </c>
      <c r="AA600" t="str">
        <f t="shared" si="9"/>
        <v>Rice</v>
      </c>
    </row>
    <row r="601" ht="30" customHeight="1" spans="1:27">
      <c r="A601" s="29" t="s">
        <v>25</v>
      </c>
      <c r="B601" s="29" t="s">
        <v>236</v>
      </c>
      <c r="C601" s="13" t="s">
        <v>298</v>
      </c>
      <c r="D601" s="29" t="s">
        <v>299</v>
      </c>
      <c r="E601" s="19">
        <v>5300</v>
      </c>
      <c r="F601" s="20"/>
      <c r="G601" s="29"/>
      <c r="H601" s="33"/>
      <c r="I601" s="29"/>
      <c r="J601" s="29" t="s">
        <v>67</v>
      </c>
      <c r="AA601" t="str">
        <f t="shared" si="9"/>
        <v>Rice</v>
      </c>
    </row>
    <row r="602" ht="30" customHeight="1" spans="1:27">
      <c r="A602" s="29" t="s">
        <v>25</v>
      </c>
      <c r="B602" s="29" t="s">
        <v>236</v>
      </c>
      <c r="C602" s="13" t="s">
        <v>298</v>
      </c>
      <c r="D602" s="29" t="s">
        <v>71</v>
      </c>
      <c r="E602" s="23">
        <v>466.8486</v>
      </c>
      <c r="F602" s="20"/>
      <c r="G602" s="29"/>
      <c r="H602" s="33"/>
      <c r="I602" s="29"/>
      <c r="J602" s="29" t="s">
        <v>64</v>
      </c>
      <c r="AA602" t="str">
        <f t="shared" si="9"/>
        <v>Rice</v>
      </c>
    </row>
    <row r="603" ht="30" customHeight="1" spans="1:27">
      <c r="A603" s="29" t="s">
        <v>25</v>
      </c>
      <c r="B603" s="29" t="s">
        <v>236</v>
      </c>
      <c r="C603" s="13" t="s">
        <v>300</v>
      </c>
      <c r="D603" s="29" t="s">
        <v>125</v>
      </c>
      <c r="E603" s="19">
        <v>1440</v>
      </c>
      <c r="F603" s="20"/>
      <c r="G603" s="29"/>
      <c r="H603" s="33"/>
      <c r="I603" s="29"/>
      <c r="J603" s="29" t="s">
        <v>75</v>
      </c>
      <c r="AA603" t="str">
        <f t="shared" si="9"/>
        <v>Corn</v>
      </c>
    </row>
    <row r="604" ht="30" customHeight="1" spans="1:27">
      <c r="A604" s="29" t="s">
        <v>25</v>
      </c>
      <c r="B604" s="29" t="s">
        <v>236</v>
      </c>
      <c r="C604" s="13" t="s">
        <v>300</v>
      </c>
      <c r="D604" s="30" t="s">
        <v>301</v>
      </c>
      <c r="E604" s="19">
        <v>15000</v>
      </c>
      <c r="F604" s="20"/>
      <c r="G604" s="29"/>
      <c r="H604" s="29"/>
      <c r="I604" s="29"/>
      <c r="J604" s="29" t="s">
        <v>29</v>
      </c>
      <c r="AA604" t="str">
        <f t="shared" si="9"/>
        <v>Farm-to-Market Road</v>
      </c>
    </row>
    <row r="605" ht="30" customHeight="1" spans="1:27">
      <c r="A605" s="29" t="s">
        <v>25</v>
      </c>
      <c r="B605" s="29" t="s">
        <v>236</v>
      </c>
      <c r="C605" s="13" t="s">
        <v>300</v>
      </c>
      <c r="D605" s="29" t="s">
        <v>163</v>
      </c>
      <c r="E605" s="19">
        <v>600000</v>
      </c>
      <c r="F605" s="20"/>
      <c r="G605" s="29"/>
      <c r="H605" s="33"/>
      <c r="I605" s="29"/>
      <c r="J605" s="29" t="s">
        <v>96</v>
      </c>
      <c r="AA605" t="str">
        <f t="shared" si="9"/>
        <v>Corn</v>
      </c>
    </row>
    <row r="606" ht="30" customHeight="1" spans="1:27">
      <c r="A606" s="29" t="s">
        <v>25</v>
      </c>
      <c r="B606" s="29" t="s">
        <v>236</v>
      </c>
      <c r="C606" s="13" t="s">
        <v>300</v>
      </c>
      <c r="D606" s="29" t="s">
        <v>240</v>
      </c>
      <c r="E606" s="23">
        <v>12820.004</v>
      </c>
      <c r="F606" s="24">
        <v>1176.9894</v>
      </c>
      <c r="G606" s="29"/>
      <c r="H606" s="33"/>
      <c r="I606" s="33"/>
      <c r="J606" s="29" t="s">
        <v>64</v>
      </c>
      <c r="AA606" t="str">
        <f t="shared" si="9"/>
        <v>Rice</v>
      </c>
    </row>
    <row r="607" ht="30" customHeight="1" spans="1:27">
      <c r="A607" s="29" t="s">
        <v>25</v>
      </c>
      <c r="B607" s="29" t="s">
        <v>236</v>
      </c>
      <c r="C607" s="13" t="s">
        <v>300</v>
      </c>
      <c r="D607" s="29" t="s">
        <v>116</v>
      </c>
      <c r="E607" s="19">
        <v>3200</v>
      </c>
      <c r="F607" s="20"/>
      <c r="G607" s="29"/>
      <c r="H607" s="33"/>
      <c r="I607" s="29"/>
      <c r="J607" s="29" t="s">
        <v>96</v>
      </c>
      <c r="AA607" t="str">
        <f t="shared" si="9"/>
        <v>Corn</v>
      </c>
    </row>
    <row r="608" ht="30" customHeight="1" spans="1:27">
      <c r="A608" s="29" t="s">
        <v>25</v>
      </c>
      <c r="B608" s="29" t="s">
        <v>236</v>
      </c>
      <c r="C608" s="13" t="s">
        <v>300</v>
      </c>
      <c r="D608" s="29" t="s">
        <v>302</v>
      </c>
      <c r="E608" s="19">
        <v>3100</v>
      </c>
      <c r="F608" s="20"/>
      <c r="G608" s="29"/>
      <c r="H608" s="33"/>
      <c r="I608" s="29"/>
      <c r="J608" s="29" t="s">
        <v>75</v>
      </c>
      <c r="AA608" t="str">
        <f t="shared" si="9"/>
        <v>Corn</v>
      </c>
    </row>
    <row r="609" ht="30" customHeight="1" spans="1:27">
      <c r="A609" s="29" t="s">
        <v>25</v>
      </c>
      <c r="B609" s="29" t="s">
        <v>236</v>
      </c>
      <c r="C609" s="13" t="s">
        <v>300</v>
      </c>
      <c r="D609" s="29" t="s">
        <v>278</v>
      </c>
      <c r="E609" s="19">
        <v>2400</v>
      </c>
      <c r="F609" s="20"/>
      <c r="G609" s="29"/>
      <c r="H609" s="33"/>
      <c r="I609" s="29"/>
      <c r="J609" s="29" t="s">
        <v>96</v>
      </c>
      <c r="AA609" t="str">
        <f t="shared" si="9"/>
        <v>Corn</v>
      </c>
    </row>
    <row r="610" ht="30" customHeight="1" spans="1:27">
      <c r="A610" s="29" t="s">
        <v>25</v>
      </c>
      <c r="B610" s="29" t="s">
        <v>236</v>
      </c>
      <c r="C610" s="13" t="s">
        <v>300</v>
      </c>
      <c r="D610" s="29" t="s">
        <v>279</v>
      </c>
      <c r="E610" s="19">
        <v>6900</v>
      </c>
      <c r="F610" s="20"/>
      <c r="G610" s="29"/>
      <c r="H610" s="33"/>
      <c r="I610" s="29"/>
      <c r="J610" s="29" t="s">
        <v>75</v>
      </c>
      <c r="AA610" t="str">
        <f t="shared" si="9"/>
        <v>Corn</v>
      </c>
    </row>
    <row r="611" ht="30" customHeight="1" spans="1:27">
      <c r="A611" s="29" t="s">
        <v>25</v>
      </c>
      <c r="B611" s="29" t="s">
        <v>236</v>
      </c>
      <c r="C611" s="13" t="s">
        <v>300</v>
      </c>
      <c r="D611" s="29" t="s">
        <v>90</v>
      </c>
      <c r="E611" s="19"/>
      <c r="F611" s="20"/>
      <c r="G611" s="29"/>
      <c r="H611" s="33"/>
      <c r="I611" s="33"/>
      <c r="J611" s="29" t="s">
        <v>75</v>
      </c>
      <c r="AA611" t="str">
        <f t="shared" si="9"/>
        <v>Corn</v>
      </c>
    </row>
    <row r="612" ht="30" customHeight="1" spans="1:27">
      <c r="A612" s="29" t="s">
        <v>25</v>
      </c>
      <c r="B612" s="29" t="s">
        <v>236</v>
      </c>
      <c r="C612" s="13" t="s">
        <v>300</v>
      </c>
      <c r="D612" s="29" t="s">
        <v>70</v>
      </c>
      <c r="E612" s="23">
        <v>57690.018</v>
      </c>
      <c r="F612" s="20"/>
      <c r="G612" s="29"/>
      <c r="H612" s="33"/>
      <c r="I612" s="29"/>
      <c r="J612" s="29" t="s">
        <v>64</v>
      </c>
      <c r="AA612" t="str">
        <f t="shared" si="9"/>
        <v>Rice</v>
      </c>
    </row>
    <row r="613" spans="1:27">
      <c r="A613" s="29" t="s">
        <v>25</v>
      </c>
      <c r="B613" s="29" t="s">
        <v>236</v>
      </c>
      <c r="C613" s="13" t="s">
        <v>300</v>
      </c>
      <c r="D613" s="29" t="s">
        <v>91</v>
      </c>
      <c r="E613" s="19">
        <v>320</v>
      </c>
      <c r="F613" s="20"/>
      <c r="G613" s="29"/>
      <c r="H613" s="33"/>
      <c r="I613" s="29"/>
      <c r="J613" s="29" t="s">
        <v>75</v>
      </c>
      <c r="AA613" t="str">
        <f t="shared" si="9"/>
        <v>Corn</v>
      </c>
    </row>
    <row r="614" ht="30" customHeight="1" spans="1:27">
      <c r="A614" s="29" t="s">
        <v>25</v>
      </c>
      <c r="B614" s="29" t="s">
        <v>236</v>
      </c>
      <c r="C614" s="13" t="s">
        <v>300</v>
      </c>
      <c r="D614" s="29" t="s">
        <v>71</v>
      </c>
      <c r="E614" s="23">
        <v>3712.5188</v>
      </c>
      <c r="F614" s="20"/>
      <c r="G614" s="29"/>
      <c r="H614" s="33"/>
      <c r="I614" s="29"/>
      <c r="J614" s="29" t="s">
        <v>64</v>
      </c>
      <c r="AA614" t="str">
        <f t="shared" si="9"/>
        <v>Rice</v>
      </c>
    </row>
    <row r="615" ht="30" customHeight="1" spans="1:27">
      <c r="A615" s="29" t="s">
        <v>25</v>
      </c>
      <c r="B615" s="29" t="s">
        <v>236</v>
      </c>
      <c r="C615" s="13" t="s">
        <v>300</v>
      </c>
      <c r="D615" s="29" t="s">
        <v>94</v>
      </c>
      <c r="E615" s="19">
        <v>1000</v>
      </c>
      <c r="F615" s="20"/>
      <c r="G615" s="29"/>
      <c r="H615" s="33"/>
      <c r="I615" s="29"/>
      <c r="J615" s="29" t="s">
        <v>75</v>
      </c>
      <c r="AA615" t="str">
        <f t="shared" si="9"/>
        <v>Corn</v>
      </c>
    </row>
    <row r="616" ht="30" customHeight="1" spans="1:27">
      <c r="A616" s="29" t="s">
        <v>25</v>
      </c>
      <c r="B616" s="29" t="s">
        <v>236</v>
      </c>
      <c r="C616" s="13" t="s">
        <v>300</v>
      </c>
      <c r="D616" s="29" t="s">
        <v>95</v>
      </c>
      <c r="E616" s="19">
        <v>1000</v>
      </c>
      <c r="F616" s="20"/>
      <c r="G616" s="29"/>
      <c r="H616" s="33"/>
      <c r="I616" s="29"/>
      <c r="J616" s="29" t="s">
        <v>96</v>
      </c>
      <c r="AA616" t="str">
        <f t="shared" si="9"/>
        <v>Corn</v>
      </c>
    </row>
    <row r="617" ht="30" spans="1:27">
      <c r="A617" s="29" t="s">
        <v>25</v>
      </c>
      <c r="B617" s="29" t="s">
        <v>236</v>
      </c>
      <c r="C617" s="13" t="s">
        <v>300</v>
      </c>
      <c r="D617" s="29" t="s">
        <v>121</v>
      </c>
      <c r="E617" s="19">
        <v>2500</v>
      </c>
      <c r="F617" s="20"/>
      <c r="G617" s="29"/>
      <c r="H617" s="33"/>
      <c r="I617" s="29"/>
      <c r="J617" s="29" t="s">
        <v>75</v>
      </c>
      <c r="AA617" t="str">
        <f t="shared" si="9"/>
        <v>Corn</v>
      </c>
    </row>
    <row r="618" ht="30" customHeight="1" spans="1:27">
      <c r="A618" s="29" t="s">
        <v>25</v>
      </c>
      <c r="B618" s="29" t="s">
        <v>236</v>
      </c>
      <c r="C618" s="13" t="s">
        <v>300</v>
      </c>
      <c r="D618" s="29" t="s">
        <v>127</v>
      </c>
      <c r="E618" s="19">
        <v>220</v>
      </c>
      <c r="F618" s="20"/>
      <c r="G618" s="29"/>
      <c r="H618" s="33"/>
      <c r="I618" s="29"/>
      <c r="J618" s="29" t="s">
        <v>75</v>
      </c>
      <c r="AA618" t="str">
        <f t="shared" si="9"/>
        <v>Corn</v>
      </c>
    </row>
    <row r="619" ht="30" spans="1:27">
      <c r="A619" s="29" t="s">
        <v>25</v>
      </c>
      <c r="B619" s="29" t="s">
        <v>236</v>
      </c>
      <c r="C619" s="13" t="s">
        <v>300</v>
      </c>
      <c r="D619" s="29" t="s">
        <v>244</v>
      </c>
      <c r="E619" s="19">
        <v>1200</v>
      </c>
      <c r="F619" s="20"/>
      <c r="G619" s="29"/>
      <c r="H619" s="33"/>
      <c r="I619" s="29"/>
      <c r="J619" s="29" t="s">
        <v>75</v>
      </c>
      <c r="AA619" t="str">
        <f t="shared" si="9"/>
        <v>Corn</v>
      </c>
    </row>
    <row r="620" ht="30" customHeight="1" spans="1:27">
      <c r="A620" s="29" t="s">
        <v>25</v>
      </c>
      <c r="B620" s="29" t="s">
        <v>236</v>
      </c>
      <c r="C620" s="13" t="s">
        <v>300</v>
      </c>
      <c r="D620" s="29" t="s">
        <v>122</v>
      </c>
      <c r="E620" s="19">
        <v>1250</v>
      </c>
      <c r="F620" s="20"/>
      <c r="G620" s="29"/>
      <c r="H620" s="33"/>
      <c r="I620" s="29"/>
      <c r="J620" s="29" t="s">
        <v>96</v>
      </c>
      <c r="AA620" t="str">
        <f t="shared" si="9"/>
        <v>Corn</v>
      </c>
    </row>
    <row r="621" ht="30" customHeight="1" spans="1:27">
      <c r="A621" s="29" t="s">
        <v>25</v>
      </c>
      <c r="B621" s="29" t="s">
        <v>236</v>
      </c>
      <c r="C621" s="13" t="s">
        <v>300</v>
      </c>
      <c r="D621" s="29" t="s">
        <v>249</v>
      </c>
      <c r="E621" s="19">
        <v>500</v>
      </c>
      <c r="F621" s="20"/>
      <c r="G621" s="29"/>
      <c r="H621" s="33"/>
      <c r="I621" s="29"/>
      <c r="J621" s="29" t="s">
        <v>75</v>
      </c>
      <c r="AA621" t="str">
        <f t="shared" si="9"/>
        <v>Corn</v>
      </c>
    </row>
    <row r="622" ht="30" customHeight="1" spans="1:27">
      <c r="A622" s="29" t="s">
        <v>25</v>
      </c>
      <c r="B622" s="29" t="s">
        <v>236</v>
      </c>
      <c r="C622" s="13" t="s">
        <v>300</v>
      </c>
      <c r="D622" s="29" t="s">
        <v>136</v>
      </c>
      <c r="E622" s="19">
        <v>121.67</v>
      </c>
      <c r="F622" s="20"/>
      <c r="G622" s="29"/>
      <c r="H622" s="33"/>
      <c r="I622" s="29"/>
      <c r="J622" s="29" t="s">
        <v>75</v>
      </c>
      <c r="AA622" t="str">
        <f t="shared" si="9"/>
        <v>Corn</v>
      </c>
    </row>
    <row r="623" ht="30" customHeight="1" spans="1:27">
      <c r="A623" s="29" t="s">
        <v>25</v>
      </c>
      <c r="B623" s="29" t="s">
        <v>236</v>
      </c>
      <c r="C623" s="13" t="s">
        <v>300</v>
      </c>
      <c r="D623" s="29" t="s">
        <v>102</v>
      </c>
      <c r="E623" s="19">
        <v>166.6666667</v>
      </c>
      <c r="F623" s="20"/>
      <c r="G623" s="29"/>
      <c r="H623" s="33"/>
      <c r="I623" s="29"/>
      <c r="J623" s="29" t="s">
        <v>75</v>
      </c>
      <c r="AA623" t="str">
        <f t="shared" si="9"/>
        <v>Corn</v>
      </c>
    </row>
    <row r="624" ht="30" customHeight="1" spans="1:27">
      <c r="A624" s="29" t="s">
        <v>25</v>
      </c>
      <c r="B624" s="29" t="s">
        <v>236</v>
      </c>
      <c r="C624" s="13" t="s">
        <v>300</v>
      </c>
      <c r="D624" s="29" t="s">
        <v>191</v>
      </c>
      <c r="E624" s="19"/>
      <c r="F624" s="20">
        <v>10000</v>
      </c>
      <c r="G624" s="29"/>
      <c r="H624" s="29"/>
      <c r="I624" s="33"/>
      <c r="J624" s="29" t="s">
        <v>75</v>
      </c>
      <c r="AA624" t="str">
        <f t="shared" si="9"/>
        <v>Corn</v>
      </c>
    </row>
    <row r="625" ht="45" customHeight="1" spans="1:27">
      <c r="A625" s="29" t="s">
        <v>25</v>
      </c>
      <c r="B625" s="29" t="s">
        <v>236</v>
      </c>
      <c r="C625" s="13" t="s">
        <v>300</v>
      </c>
      <c r="D625" s="29" t="s">
        <v>192</v>
      </c>
      <c r="E625" s="19">
        <v>11000</v>
      </c>
      <c r="F625" s="20"/>
      <c r="G625" s="29"/>
      <c r="H625" s="33"/>
      <c r="I625" s="29"/>
      <c r="J625" s="29" t="s">
        <v>96</v>
      </c>
      <c r="AA625" t="str">
        <f t="shared" si="9"/>
        <v>Corn</v>
      </c>
    </row>
    <row r="626" ht="45" customHeight="1" spans="1:27">
      <c r="A626" s="29" t="s">
        <v>25</v>
      </c>
      <c r="B626" s="29" t="s">
        <v>236</v>
      </c>
      <c r="C626" s="13" t="s">
        <v>300</v>
      </c>
      <c r="D626" s="29" t="s">
        <v>74</v>
      </c>
      <c r="E626" s="19">
        <v>5730</v>
      </c>
      <c r="F626" s="20"/>
      <c r="G626" s="29"/>
      <c r="H626" s="33"/>
      <c r="I626" s="29"/>
      <c r="J626" s="29" t="s">
        <v>75</v>
      </c>
      <c r="AA626" t="str">
        <f t="shared" si="9"/>
        <v>Corn</v>
      </c>
    </row>
    <row r="627" spans="1:27">
      <c r="A627" s="29" t="s">
        <v>25</v>
      </c>
      <c r="B627" s="29" t="s">
        <v>236</v>
      </c>
      <c r="C627" s="13" t="s">
        <v>303</v>
      </c>
      <c r="D627" s="30" t="s">
        <v>304</v>
      </c>
      <c r="E627" s="19">
        <v>50000</v>
      </c>
      <c r="F627" s="20"/>
      <c r="G627" s="29"/>
      <c r="H627" s="29"/>
      <c r="I627" s="29"/>
      <c r="J627" s="29" t="s">
        <v>29</v>
      </c>
      <c r="AA627" t="str">
        <f t="shared" si="9"/>
        <v>Farm-to-Market Road</v>
      </c>
    </row>
    <row r="628" ht="30" customHeight="1" spans="1:27">
      <c r="A628" s="29" t="s">
        <v>25</v>
      </c>
      <c r="B628" s="29" t="s">
        <v>236</v>
      </c>
      <c r="C628" s="13" t="s">
        <v>303</v>
      </c>
      <c r="D628" s="30" t="s">
        <v>305</v>
      </c>
      <c r="E628" s="19"/>
      <c r="F628" s="20">
        <v>25050</v>
      </c>
      <c r="G628" s="29"/>
      <c r="H628" s="29"/>
      <c r="I628" s="29"/>
      <c r="J628" s="29" t="s">
        <v>29</v>
      </c>
      <c r="AA628" t="str">
        <f t="shared" si="9"/>
        <v>Farm-to-Market Road</v>
      </c>
    </row>
    <row r="629" ht="30" customHeight="1" spans="1:27">
      <c r="A629" s="29" t="s">
        <v>25</v>
      </c>
      <c r="B629" s="29" t="s">
        <v>236</v>
      </c>
      <c r="C629" s="13" t="s">
        <v>303</v>
      </c>
      <c r="D629" s="30" t="s">
        <v>306</v>
      </c>
      <c r="E629" s="19"/>
      <c r="F629" s="20">
        <v>32085</v>
      </c>
      <c r="G629" s="29"/>
      <c r="H629" s="29"/>
      <c r="I629" s="29"/>
      <c r="J629" s="29" t="s">
        <v>29</v>
      </c>
      <c r="AA629" t="str">
        <f t="shared" si="9"/>
        <v>Farm-to-Market Road</v>
      </c>
    </row>
    <row r="630" ht="30" customHeight="1" spans="1:27">
      <c r="A630" s="29" t="s">
        <v>25</v>
      </c>
      <c r="B630" s="29" t="s">
        <v>236</v>
      </c>
      <c r="C630" s="13" t="s">
        <v>303</v>
      </c>
      <c r="D630" s="29" t="s">
        <v>63</v>
      </c>
      <c r="E630" s="23">
        <v>12926.8622</v>
      </c>
      <c r="F630" s="24">
        <v>1186.7999</v>
      </c>
      <c r="G630" s="29"/>
      <c r="H630" s="33"/>
      <c r="I630" s="33"/>
      <c r="J630" s="29" t="s">
        <v>64</v>
      </c>
      <c r="AA630" t="str">
        <f t="shared" si="9"/>
        <v>Rice</v>
      </c>
    </row>
    <row r="631" spans="1:27">
      <c r="A631" s="29" t="s">
        <v>25</v>
      </c>
      <c r="B631" s="29" t="s">
        <v>236</v>
      </c>
      <c r="C631" s="13" t="s">
        <v>303</v>
      </c>
      <c r="D631" s="29" t="s">
        <v>90</v>
      </c>
      <c r="E631" s="19"/>
      <c r="F631" s="20"/>
      <c r="G631" s="29"/>
      <c r="H631" s="33"/>
      <c r="I631" s="33"/>
      <c r="J631" s="29" t="s">
        <v>75</v>
      </c>
      <c r="AA631" t="str">
        <f t="shared" si="9"/>
        <v>Corn</v>
      </c>
    </row>
    <row r="632" ht="30" spans="1:27">
      <c r="A632" s="29" t="s">
        <v>25</v>
      </c>
      <c r="B632" s="29" t="s">
        <v>236</v>
      </c>
      <c r="C632" s="13" t="s">
        <v>303</v>
      </c>
      <c r="D632" s="29" t="s">
        <v>70</v>
      </c>
      <c r="E632" s="23">
        <v>58170.8799</v>
      </c>
      <c r="F632" s="20"/>
      <c r="G632" s="29"/>
      <c r="H632" s="33"/>
      <c r="I632" s="29"/>
      <c r="J632" s="29" t="s">
        <v>64</v>
      </c>
      <c r="AA632" t="str">
        <f t="shared" si="9"/>
        <v>Rice</v>
      </c>
    </row>
    <row r="633" ht="30" spans="1:27">
      <c r="A633" s="29" t="s">
        <v>25</v>
      </c>
      <c r="B633" s="29" t="s">
        <v>236</v>
      </c>
      <c r="C633" s="13" t="s">
        <v>303</v>
      </c>
      <c r="D633" s="29" t="s">
        <v>71</v>
      </c>
      <c r="E633" s="23">
        <v>3743.4637</v>
      </c>
      <c r="F633" s="20"/>
      <c r="G633" s="29"/>
      <c r="H633" s="33"/>
      <c r="I633" s="29"/>
      <c r="J633" s="29" t="s">
        <v>64</v>
      </c>
      <c r="AA633" t="str">
        <f t="shared" si="9"/>
        <v>Rice</v>
      </c>
    </row>
    <row r="634" ht="30" customHeight="1" spans="1:27">
      <c r="A634" s="29" t="s">
        <v>25</v>
      </c>
      <c r="B634" s="29" t="s">
        <v>236</v>
      </c>
      <c r="C634" s="13" t="s">
        <v>303</v>
      </c>
      <c r="D634" s="29" t="s">
        <v>307</v>
      </c>
      <c r="E634" s="19">
        <v>3500</v>
      </c>
      <c r="F634" s="20"/>
      <c r="G634" s="29"/>
      <c r="H634" s="33"/>
      <c r="I634" s="29"/>
      <c r="J634" s="29" t="s">
        <v>288</v>
      </c>
      <c r="AA634" t="str">
        <f t="shared" si="9"/>
        <v>Organic Agriculture</v>
      </c>
    </row>
    <row r="635" ht="30" spans="1:27">
      <c r="A635" s="29" t="s">
        <v>25</v>
      </c>
      <c r="B635" s="29" t="s">
        <v>236</v>
      </c>
      <c r="C635" s="13" t="s">
        <v>303</v>
      </c>
      <c r="D635" s="29" t="s">
        <v>308</v>
      </c>
      <c r="E635" s="19">
        <v>3500</v>
      </c>
      <c r="F635" s="20"/>
      <c r="G635" s="29"/>
      <c r="H635" s="33"/>
      <c r="I635" s="29"/>
      <c r="J635" s="29" t="s">
        <v>288</v>
      </c>
      <c r="AA635" t="str">
        <f t="shared" si="9"/>
        <v>Organic Agriculture</v>
      </c>
    </row>
    <row r="636" ht="30" customHeight="1" spans="1:27">
      <c r="A636" s="29" t="s">
        <v>25</v>
      </c>
      <c r="B636" s="29" t="s">
        <v>236</v>
      </c>
      <c r="C636" s="13" t="s">
        <v>303</v>
      </c>
      <c r="D636" s="29" t="s">
        <v>73</v>
      </c>
      <c r="E636" s="19">
        <v>6000</v>
      </c>
      <c r="F636" s="20"/>
      <c r="G636" s="29"/>
      <c r="H636" s="33"/>
      <c r="I636" s="29"/>
      <c r="J636" s="29" t="s">
        <v>64</v>
      </c>
      <c r="AA636" t="str">
        <f t="shared" si="9"/>
        <v>Rice</v>
      </c>
    </row>
    <row r="637" ht="30" customHeight="1" spans="1:27">
      <c r="A637" s="29" t="s">
        <v>25</v>
      </c>
      <c r="B637" s="29" t="s">
        <v>236</v>
      </c>
      <c r="C637" s="13" t="s">
        <v>303</v>
      </c>
      <c r="D637" s="29" t="s">
        <v>74</v>
      </c>
      <c r="E637" s="19"/>
      <c r="F637" s="20"/>
      <c r="G637" s="29"/>
      <c r="H637" s="33"/>
      <c r="I637" s="29"/>
      <c r="J637" s="29" t="s">
        <v>75</v>
      </c>
      <c r="AA637" t="str">
        <f t="shared" si="9"/>
        <v>Corn</v>
      </c>
    </row>
    <row r="638" ht="30" customHeight="1" spans="1:27">
      <c r="A638" s="29" t="s">
        <v>25</v>
      </c>
      <c r="B638" s="29" t="s">
        <v>236</v>
      </c>
      <c r="C638" s="13" t="s">
        <v>309</v>
      </c>
      <c r="D638" s="29" t="s">
        <v>77</v>
      </c>
      <c r="E638" s="19">
        <v>1800</v>
      </c>
      <c r="F638" s="20"/>
      <c r="G638" s="29"/>
      <c r="H638" s="33"/>
      <c r="I638" s="29"/>
      <c r="J638" s="29" t="s">
        <v>75</v>
      </c>
      <c r="AA638" t="str">
        <f t="shared" si="9"/>
        <v>Corn</v>
      </c>
    </row>
    <row r="639" spans="1:27">
      <c r="A639" s="29" t="s">
        <v>25</v>
      </c>
      <c r="B639" s="29" t="s">
        <v>236</v>
      </c>
      <c r="C639" s="13" t="s">
        <v>309</v>
      </c>
      <c r="D639" s="29" t="s">
        <v>246</v>
      </c>
      <c r="E639" s="19">
        <v>360</v>
      </c>
      <c r="F639" s="20"/>
      <c r="G639" s="29"/>
      <c r="H639" s="33"/>
      <c r="I639" s="29"/>
      <c r="J639" s="29" t="s">
        <v>75</v>
      </c>
      <c r="AA639" t="str">
        <f t="shared" si="9"/>
        <v>Corn</v>
      </c>
    </row>
    <row r="640" ht="30" customHeight="1" spans="1:27">
      <c r="A640" s="29" t="s">
        <v>25</v>
      </c>
      <c r="B640" s="29" t="s">
        <v>236</v>
      </c>
      <c r="C640" s="13" t="s">
        <v>309</v>
      </c>
      <c r="D640" s="29" t="s">
        <v>125</v>
      </c>
      <c r="E640" s="19">
        <v>480</v>
      </c>
      <c r="F640" s="20"/>
      <c r="G640" s="29"/>
      <c r="H640" s="33"/>
      <c r="I640" s="29"/>
      <c r="J640" s="29" t="s">
        <v>75</v>
      </c>
      <c r="AA640" t="str">
        <f t="shared" si="9"/>
        <v>Corn</v>
      </c>
    </row>
    <row r="641" ht="30" customHeight="1" spans="1:27">
      <c r="A641" s="29" t="s">
        <v>25</v>
      </c>
      <c r="B641" s="29" t="s">
        <v>236</v>
      </c>
      <c r="C641" s="13" t="s">
        <v>309</v>
      </c>
      <c r="D641" s="29" t="s">
        <v>310</v>
      </c>
      <c r="E641" s="19">
        <v>2700</v>
      </c>
      <c r="F641" s="20"/>
      <c r="G641" s="29"/>
      <c r="H641" s="33"/>
      <c r="I641" s="29"/>
      <c r="J641" s="29" t="s">
        <v>80</v>
      </c>
      <c r="AA641" t="str">
        <f t="shared" si="9"/>
        <v>Livestock (Cattle/Carabao/Swine/Poultry)</v>
      </c>
    </row>
    <row r="642" ht="30" customHeight="1" spans="1:27">
      <c r="A642" s="29" t="s">
        <v>25</v>
      </c>
      <c r="B642" s="29" t="s">
        <v>236</v>
      </c>
      <c r="C642" s="13" t="s">
        <v>309</v>
      </c>
      <c r="D642" s="29" t="s">
        <v>242</v>
      </c>
      <c r="E642" s="19">
        <v>2700</v>
      </c>
      <c r="F642" s="20"/>
      <c r="G642" s="29"/>
      <c r="H642" s="33"/>
      <c r="I642" s="29"/>
      <c r="J642" s="29" t="s">
        <v>80</v>
      </c>
      <c r="AA642" t="str">
        <f t="shared" si="9"/>
        <v>Livestock (Cattle/Carabao/Swine/Poultry)</v>
      </c>
    </row>
    <row r="643" ht="30" spans="1:27">
      <c r="A643" s="29" t="s">
        <v>25</v>
      </c>
      <c r="B643" s="29" t="s">
        <v>236</v>
      </c>
      <c r="C643" s="13" t="s">
        <v>309</v>
      </c>
      <c r="D643" s="29" t="s">
        <v>240</v>
      </c>
      <c r="E643" s="23">
        <v>4611.4458</v>
      </c>
      <c r="F643" s="24">
        <v>423.3714</v>
      </c>
      <c r="G643" s="29"/>
      <c r="H643" s="33"/>
      <c r="I643" s="33"/>
      <c r="J643" s="29" t="s">
        <v>64</v>
      </c>
      <c r="AA643" t="str">
        <f t="shared" si="9"/>
        <v>Rice</v>
      </c>
    </row>
    <row r="644" spans="1:27">
      <c r="A644" s="29" t="s">
        <v>25</v>
      </c>
      <c r="B644" s="29" t="s">
        <v>236</v>
      </c>
      <c r="C644" s="13" t="s">
        <v>309</v>
      </c>
      <c r="D644" s="29" t="s">
        <v>90</v>
      </c>
      <c r="E644" s="19"/>
      <c r="F644" s="20"/>
      <c r="G644" s="29"/>
      <c r="H644" s="33"/>
      <c r="I644" s="33"/>
      <c r="J644" s="29" t="s">
        <v>75</v>
      </c>
      <c r="AA644" t="str">
        <f t="shared" si="9"/>
        <v>Corn</v>
      </c>
    </row>
    <row r="645" ht="30" customHeight="1" spans="1:27">
      <c r="A645" s="29" t="s">
        <v>25</v>
      </c>
      <c r="B645" s="29" t="s">
        <v>236</v>
      </c>
      <c r="C645" s="13" t="s">
        <v>309</v>
      </c>
      <c r="D645" s="29" t="s">
        <v>70</v>
      </c>
      <c r="E645" s="23">
        <v>20751.5059</v>
      </c>
      <c r="F645" s="20"/>
      <c r="G645" s="29"/>
      <c r="H645" s="33"/>
      <c r="I645" s="29"/>
      <c r="J645" s="29" t="s">
        <v>64</v>
      </c>
      <c r="AA645" t="str">
        <f t="shared" si="9"/>
        <v>Rice</v>
      </c>
    </row>
    <row r="646" ht="30" customHeight="1" spans="1:27">
      <c r="A646" s="29" t="s">
        <v>25</v>
      </c>
      <c r="B646" s="29" t="s">
        <v>236</v>
      </c>
      <c r="C646" s="13" t="s">
        <v>309</v>
      </c>
      <c r="D646" s="29" t="s">
        <v>173</v>
      </c>
      <c r="E646" s="19"/>
      <c r="F646" s="20"/>
      <c r="G646" s="29"/>
      <c r="H646" s="33"/>
      <c r="I646" s="29"/>
      <c r="J646" s="29" t="s">
        <v>75</v>
      </c>
      <c r="AA646" t="str">
        <f t="shared" si="9"/>
        <v>Corn</v>
      </c>
    </row>
    <row r="647" ht="45" customHeight="1" spans="1:27">
      <c r="A647" s="29" t="s">
        <v>25</v>
      </c>
      <c r="B647" s="29" t="s">
        <v>236</v>
      </c>
      <c r="C647" s="13" t="s">
        <v>309</v>
      </c>
      <c r="D647" s="29" t="s">
        <v>91</v>
      </c>
      <c r="E647" s="19">
        <v>480</v>
      </c>
      <c r="F647" s="20"/>
      <c r="G647" s="29"/>
      <c r="H647" s="33"/>
      <c r="I647" s="29"/>
      <c r="J647" s="29" t="s">
        <v>75</v>
      </c>
      <c r="AA647" t="str">
        <f t="shared" si="9"/>
        <v>Corn</v>
      </c>
    </row>
    <row r="648" ht="30" customHeight="1" spans="1:27">
      <c r="A648" s="29" t="s">
        <v>25</v>
      </c>
      <c r="B648" s="29" t="s">
        <v>236</v>
      </c>
      <c r="C648" s="13" t="s">
        <v>309</v>
      </c>
      <c r="D648" s="29" t="s">
        <v>71</v>
      </c>
      <c r="E648" s="23">
        <v>1335.4192</v>
      </c>
      <c r="F648" s="20"/>
      <c r="G648" s="29"/>
      <c r="H648" s="33"/>
      <c r="I648" s="29"/>
      <c r="J648" s="29" t="s">
        <v>64</v>
      </c>
      <c r="AA648" t="str">
        <f t="shared" si="9"/>
        <v>Rice</v>
      </c>
    </row>
    <row r="649" ht="30" customHeight="1" spans="1:27">
      <c r="A649" s="29" t="s">
        <v>25</v>
      </c>
      <c r="B649" s="29" t="s">
        <v>236</v>
      </c>
      <c r="C649" s="13" t="s">
        <v>309</v>
      </c>
      <c r="D649" s="29" t="s">
        <v>92</v>
      </c>
      <c r="E649" s="19">
        <v>106.25</v>
      </c>
      <c r="F649" s="20"/>
      <c r="G649" s="29"/>
      <c r="H649" s="33"/>
      <c r="I649" s="29"/>
      <c r="J649" s="29" t="s">
        <v>35</v>
      </c>
      <c r="AA649" t="str">
        <f t="shared" si="9"/>
        <v>High Value Crops (Vegetables/Fruits/Rootcrops)</v>
      </c>
    </row>
    <row r="650" ht="30" customHeight="1" spans="1:27">
      <c r="A650" s="29" t="s">
        <v>25</v>
      </c>
      <c r="B650" s="29" t="s">
        <v>236</v>
      </c>
      <c r="C650" s="13" t="s">
        <v>309</v>
      </c>
      <c r="D650" s="29" t="s">
        <v>121</v>
      </c>
      <c r="E650" s="19">
        <v>2500</v>
      </c>
      <c r="F650" s="20"/>
      <c r="G650" s="29"/>
      <c r="H650" s="33"/>
      <c r="I650" s="29"/>
      <c r="J650" s="29" t="s">
        <v>75</v>
      </c>
      <c r="AA650" t="str">
        <f t="shared" ref="AA650:AA713" si="10">_xlfn.IFS(J650="DA-FMRDP","Farm-to-Market Road",J650="DA-RFO2 RICE","Rice",J650="DA-RFO2 Rice Program","Rice",J650="DA-RFO2 CORN","Corn",J650="DA-RFO2 Corn Program","Corn",J650="DA-RFO2 HVCDP","High Value Crops (Vegetables/Fruits/Rootcrops)",J650="DA-RFO2 HVCDP Export","High Value Export Crops (Dragon Fruit/Ube/Okra/Banana)",J650="DA-RFO2 HVCDP Coffee","Coffee (HVCDP)",J650="DA-RFO2 LIVESTOCK","Livestock (Cattle/Carabao/Swine/Poultry)",J650="DA-RFO2 SAAD","Various Commodities (SAAD)",J650="DA-RFO2 4K","Various Commodities (4Ks)",J650="DA-RFO2 4KS","Various Commodities (4Ks)",J650="DA-RFO2 HALAL","Halal Food Products",J650="DA-RFO2 OAP","Organic Agriculture",J650="DA-RFO2 NUPAP","Vegetables (NUPAP/Urban Agri)",TRUE,IF(ISNUMBER(SEARCH("FMR",D650)),"Farm-to-Market Road",IF(ISNUMBER(SEARCH("RICE",D650)),"Rice",IF(ISNUMBER(SEARCH("CORN",D650)),"Corn",IF(ISNUMBER(SEARCH("HVCDP COFFEE",D650)),"Coffee (HVCDP)",IF(ISNUMBER(SEARCH("HVCDP EXPORT",D650)),"High Value Export Crops (Dragon Fruit/Ube/Okra/Banana)",IF(ISNUMBER(SEARCH("HVCDP",D650)),"High Value Crops (Vegetables/Fruits/Rootcrops)",IF(ISNUMBER(SEARCH("LIVESTOCK",D650)),"Livestock (Cattle/Carabao/Swine/Poultry)",IF(ISNUMBER(SEARCH("SAAD",D650)),"Various Commodities (SAAD)",IF(ISNUMBER(SEARCH("4KS",D650)),"Various Commodities (4Ks)",IF(ISNUMBER(SEARCH("4K",D650)),"Various Commodities (4Ks)",IF(ISNUMBER(SEARCH("HALAL",D650)),"Halal Food Products",IF(ISNUMBER(SEARCH("OAP",D650)),"Organic Agriculture",IF(ISNUMBER(SEARCH("NUPAP",D650)),"Vegetables (NUPAP/Urban Agri)",""))))))))))))))</f>
        <v>Corn</v>
      </c>
    </row>
    <row r="651" ht="30" spans="1:27">
      <c r="A651" s="29" t="s">
        <v>25</v>
      </c>
      <c r="B651" s="29" t="s">
        <v>236</v>
      </c>
      <c r="C651" s="13" t="s">
        <v>309</v>
      </c>
      <c r="D651" s="29" t="s">
        <v>127</v>
      </c>
      <c r="E651" s="19">
        <v>220</v>
      </c>
      <c r="F651" s="20"/>
      <c r="G651" s="29"/>
      <c r="H651" s="33"/>
      <c r="I651" s="29"/>
      <c r="J651" s="29" t="s">
        <v>75</v>
      </c>
      <c r="AA651" t="str">
        <f t="shared" si="10"/>
        <v>Corn</v>
      </c>
    </row>
    <row r="652" ht="30" customHeight="1" spans="1:27">
      <c r="A652" s="29" t="s">
        <v>25</v>
      </c>
      <c r="B652" s="29" t="s">
        <v>236</v>
      </c>
      <c r="C652" s="13" t="s">
        <v>309</v>
      </c>
      <c r="D652" s="29" t="s">
        <v>244</v>
      </c>
      <c r="E652" s="19">
        <v>400</v>
      </c>
      <c r="F652" s="20"/>
      <c r="G652" s="29"/>
      <c r="H652" s="33"/>
      <c r="I652" s="29"/>
      <c r="J652" s="29" t="s">
        <v>75</v>
      </c>
      <c r="AA652" t="str">
        <f t="shared" si="10"/>
        <v>Corn</v>
      </c>
    </row>
    <row r="653" ht="30" spans="1:27">
      <c r="A653" s="29" t="s">
        <v>25</v>
      </c>
      <c r="B653" s="29" t="s">
        <v>236</v>
      </c>
      <c r="C653" s="13" t="s">
        <v>309</v>
      </c>
      <c r="D653" s="29" t="s">
        <v>122</v>
      </c>
      <c r="E653" s="19">
        <v>1250</v>
      </c>
      <c r="F653" s="20"/>
      <c r="G653" s="29"/>
      <c r="H653" s="33"/>
      <c r="I653" s="29"/>
      <c r="J653" s="29" t="s">
        <v>96</v>
      </c>
      <c r="AA653" t="str">
        <f t="shared" si="10"/>
        <v>Corn</v>
      </c>
    </row>
    <row r="654" ht="30" spans="1:27">
      <c r="A654" s="29" t="s">
        <v>25</v>
      </c>
      <c r="B654" s="29" t="s">
        <v>236</v>
      </c>
      <c r="C654" s="13" t="s">
        <v>309</v>
      </c>
      <c r="D654" s="29" t="s">
        <v>99</v>
      </c>
      <c r="E654" s="19">
        <v>14610</v>
      </c>
      <c r="F654" s="20"/>
      <c r="G654" s="29"/>
      <c r="H654" s="33"/>
      <c r="I654" s="29"/>
      <c r="J654" s="29" t="s">
        <v>75</v>
      </c>
      <c r="AA654" t="str">
        <f t="shared" si="10"/>
        <v>Corn</v>
      </c>
    </row>
    <row r="655" ht="45" spans="1:27">
      <c r="A655" s="29" t="s">
        <v>25</v>
      </c>
      <c r="B655" s="29" t="s">
        <v>236</v>
      </c>
      <c r="C655" s="13" t="s">
        <v>309</v>
      </c>
      <c r="D655" s="30" t="s">
        <v>311</v>
      </c>
      <c r="E655" s="19"/>
      <c r="F655" s="20">
        <v>23100</v>
      </c>
      <c r="G655" s="29"/>
      <c r="H655" s="29"/>
      <c r="I655" s="29"/>
      <c r="J655" s="29" t="s">
        <v>29</v>
      </c>
      <c r="AA655" t="str">
        <f t="shared" si="10"/>
        <v>Farm-to-Market Road</v>
      </c>
    </row>
    <row r="656" ht="30" customHeight="1" spans="1:27">
      <c r="A656" s="29" t="s">
        <v>25</v>
      </c>
      <c r="B656" s="29" t="s">
        <v>236</v>
      </c>
      <c r="C656" s="13" t="s">
        <v>309</v>
      </c>
      <c r="D656" s="29" t="s">
        <v>36</v>
      </c>
      <c r="E656" s="19">
        <v>250</v>
      </c>
      <c r="F656" s="20"/>
      <c r="G656" s="29"/>
      <c r="H656" s="33"/>
      <c r="I656" s="29"/>
      <c r="J656" s="29" t="s">
        <v>35</v>
      </c>
      <c r="AA656" t="str">
        <f t="shared" si="10"/>
        <v>High Value Crops (Vegetables/Fruits/Rootcrops)</v>
      </c>
    </row>
    <row r="657" ht="30" customHeight="1" spans="1:27">
      <c r="A657" s="29" t="s">
        <v>25</v>
      </c>
      <c r="B657" s="29" t="s">
        <v>236</v>
      </c>
      <c r="C657" s="13" t="s">
        <v>309</v>
      </c>
      <c r="D657" s="29" t="s">
        <v>281</v>
      </c>
      <c r="E657" s="19">
        <v>720</v>
      </c>
      <c r="F657" s="20"/>
      <c r="G657" s="29"/>
      <c r="H657" s="33"/>
      <c r="I657" s="29"/>
      <c r="J657" s="29" t="s">
        <v>75</v>
      </c>
      <c r="AA657" t="str">
        <f t="shared" si="10"/>
        <v>Corn</v>
      </c>
    </row>
    <row r="658" ht="30" customHeight="1" spans="1:27">
      <c r="A658" s="29" t="s">
        <v>25</v>
      </c>
      <c r="B658" s="29" t="s">
        <v>236</v>
      </c>
      <c r="C658" s="13" t="s">
        <v>309</v>
      </c>
      <c r="D658" s="29" t="s">
        <v>103</v>
      </c>
      <c r="E658" s="19">
        <v>440</v>
      </c>
      <c r="F658" s="20"/>
      <c r="G658" s="29"/>
      <c r="H658" s="33"/>
      <c r="I658" s="29"/>
      <c r="J658" s="29" t="s">
        <v>75</v>
      </c>
      <c r="AA658" t="str">
        <f t="shared" si="10"/>
        <v>Corn</v>
      </c>
    </row>
    <row r="659" ht="30" customHeight="1" spans="1:27">
      <c r="A659" s="29" t="s">
        <v>25</v>
      </c>
      <c r="B659" s="29" t="s">
        <v>236</v>
      </c>
      <c r="C659" s="13" t="s">
        <v>309</v>
      </c>
      <c r="D659" s="29" t="s">
        <v>74</v>
      </c>
      <c r="E659" s="19"/>
      <c r="F659" s="20"/>
      <c r="G659" s="29"/>
      <c r="H659" s="33"/>
      <c r="I659" s="29"/>
      <c r="J659" s="29" t="s">
        <v>75</v>
      </c>
      <c r="AA659" t="str">
        <f t="shared" si="10"/>
        <v>Corn</v>
      </c>
    </row>
    <row r="660" ht="30" customHeight="1" spans="1:27">
      <c r="A660" s="29" t="s">
        <v>25</v>
      </c>
      <c r="B660" s="29" t="s">
        <v>236</v>
      </c>
      <c r="C660" s="13" t="s">
        <v>312</v>
      </c>
      <c r="D660" s="30" t="s">
        <v>313</v>
      </c>
      <c r="E660" s="19">
        <v>18000</v>
      </c>
      <c r="F660" s="20"/>
      <c r="G660" s="29"/>
      <c r="H660" s="29"/>
      <c r="I660" s="29"/>
      <c r="J660" s="29" t="s">
        <v>29</v>
      </c>
      <c r="AA660" t="str">
        <f t="shared" si="10"/>
        <v>Farm-to-Market Road</v>
      </c>
    </row>
    <row r="661" ht="30" customHeight="1" spans="1:27">
      <c r="A661" s="29" t="s">
        <v>25</v>
      </c>
      <c r="B661" s="29" t="s">
        <v>236</v>
      </c>
      <c r="C661" s="13" t="s">
        <v>312</v>
      </c>
      <c r="D661" s="29" t="s">
        <v>240</v>
      </c>
      <c r="E661" s="23">
        <v>7607.8273</v>
      </c>
      <c r="F661" s="24">
        <v>698.4656</v>
      </c>
      <c r="G661" s="29"/>
      <c r="H661" s="33"/>
      <c r="I661" s="33"/>
      <c r="J661" s="29" t="s">
        <v>64</v>
      </c>
      <c r="AA661" t="str">
        <f t="shared" si="10"/>
        <v>Rice</v>
      </c>
    </row>
    <row r="662" ht="30" customHeight="1" spans="1:27">
      <c r="A662" s="29" t="s">
        <v>25</v>
      </c>
      <c r="B662" s="29" t="s">
        <v>236</v>
      </c>
      <c r="C662" s="13" t="s">
        <v>312</v>
      </c>
      <c r="D662" s="29" t="s">
        <v>60</v>
      </c>
      <c r="E662" s="19">
        <v>900</v>
      </c>
      <c r="F662" s="20"/>
      <c r="G662" s="29"/>
      <c r="H662" s="33"/>
      <c r="I662" s="29"/>
      <c r="J662" s="29" t="s">
        <v>33</v>
      </c>
      <c r="AA662" t="str">
        <f t="shared" si="10"/>
        <v>Various Commodities (SAAD)</v>
      </c>
    </row>
    <row r="663" ht="30" customHeight="1" spans="1:27">
      <c r="A663" s="29" t="s">
        <v>25</v>
      </c>
      <c r="B663" s="29" t="s">
        <v>236</v>
      </c>
      <c r="C663" s="13" t="s">
        <v>312</v>
      </c>
      <c r="D663" s="29" t="s">
        <v>32</v>
      </c>
      <c r="E663" s="19">
        <v>777</v>
      </c>
      <c r="F663" s="20"/>
      <c r="G663" s="29"/>
      <c r="H663" s="33"/>
      <c r="I663" s="29"/>
      <c r="J663" s="29" t="s">
        <v>33</v>
      </c>
      <c r="AA663" t="str">
        <f t="shared" si="10"/>
        <v>Various Commodities (SAAD)</v>
      </c>
    </row>
    <row r="664" ht="30" customHeight="1" spans="1:27">
      <c r="A664" s="29" t="s">
        <v>25</v>
      </c>
      <c r="B664" s="29" t="s">
        <v>236</v>
      </c>
      <c r="C664" s="13" t="s">
        <v>312</v>
      </c>
      <c r="D664" s="29" t="s">
        <v>90</v>
      </c>
      <c r="E664" s="19"/>
      <c r="F664" s="20"/>
      <c r="G664" s="29"/>
      <c r="H664" s="33"/>
      <c r="I664" s="33"/>
      <c r="J664" s="29" t="s">
        <v>75</v>
      </c>
      <c r="AA664" t="str">
        <f t="shared" si="10"/>
        <v>Corn</v>
      </c>
    </row>
    <row r="665" ht="30" customHeight="1" spans="1:27">
      <c r="A665" s="29" t="s">
        <v>25</v>
      </c>
      <c r="B665" s="29" t="s">
        <v>236</v>
      </c>
      <c r="C665" s="13" t="s">
        <v>312</v>
      </c>
      <c r="D665" s="29" t="s">
        <v>70</v>
      </c>
      <c r="E665" s="23">
        <v>34235.223</v>
      </c>
      <c r="F665" s="20"/>
      <c r="G665" s="29"/>
      <c r="H665" s="33"/>
      <c r="I665" s="29"/>
      <c r="J665" s="29" t="s">
        <v>64</v>
      </c>
      <c r="AA665" t="str">
        <f t="shared" si="10"/>
        <v>Rice</v>
      </c>
    </row>
    <row r="666" ht="45" customHeight="1" spans="1:27">
      <c r="A666" s="29" t="s">
        <v>25</v>
      </c>
      <c r="B666" s="29" t="s">
        <v>236</v>
      </c>
      <c r="C666" s="13" t="s">
        <v>312</v>
      </c>
      <c r="D666" s="29" t="s">
        <v>71</v>
      </c>
      <c r="E666" s="23">
        <v>2203.1352</v>
      </c>
      <c r="F666" s="20"/>
      <c r="G666" s="29"/>
      <c r="H666" s="33"/>
      <c r="I666" s="29"/>
      <c r="J666" s="29" t="s">
        <v>64</v>
      </c>
      <c r="AA666" t="str">
        <f t="shared" si="10"/>
        <v>Rice</v>
      </c>
    </row>
    <row r="667" ht="30" customHeight="1" spans="1:27">
      <c r="A667" s="29" t="s">
        <v>25</v>
      </c>
      <c r="B667" s="29" t="s">
        <v>236</v>
      </c>
      <c r="C667" s="13" t="s">
        <v>312</v>
      </c>
      <c r="D667" s="29" t="s">
        <v>72</v>
      </c>
      <c r="E667" s="19">
        <v>1330.82</v>
      </c>
      <c r="F667" s="20"/>
      <c r="G667" s="29"/>
      <c r="H667" s="33"/>
      <c r="I667" s="29"/>
      <c r="J667" s="29" t="s">
        <v>35</v>
      </c>
      <c r="AA667" t="str">
        <f t="shared" si="10"/>
        <v>High Value Crops (Vegetables/Fruits/Rootcrops)</v>
      </c>
    </row>
    <row r="668" ht="45" customHeight="1" spans="1:27">
      <c r="A668" s="29" t="s">
        <v>25</v>
      </c>
      <c r="B668" s="29" t="s">
        <v>236</v>
      </c>
      <c r="C668" s="13" t="s">
        <v>312</v>
      </c>
      <c r="D668" s="29" t="s">
        <v>36</v>
      </c>
      <c r="E668" s="19">
        <v>3225</v>
      </c>
      <c r="F668" s="20"/>
      <c r="G668" s="29"/>
      <c r="H668" s="33"/>
      <c r="I668" s="29"/>
      <c r="J668" s="29" t="s">
        <v>35</v>
      </c>
      <c r="AA668" t="str">
        <f t="shared" si="10"/>
        <v>High Value Crops (Vegetables/Fruits/Rootcrops)</v>
      </c>
    </row>
    <row r="669" ht="30" customHeight="1" spans="1:27">
      <c r="A669" s="29" t="s">
        <v>25</v>
      </c>
      <c r="B669" s="29" t="s">
        <v>236</v>
      </c>
      <c r="C669" s="13" t="s">
        <v>312</v>
      </c>
      <c r="D669" s="29" t="s">
        <v>205</v>
      </c>
      <c r="E669" s="19">
        <v>1200</v>
      </c>
      <c r="F669" s="20"/>
      <c r="G669" s="29"/>
      <c r="H669" s="33"/>
      <c r="I669" s="29"/>
      <c r="J669" s="29" t="s">
        <v>35</v>
      </c>
      <c r="AA669" t="str">
        <f t="shared" si="10"/>
        <v>High Value Crops (Vegetables/Fruits/Rootcrops)</v>
      </c>
    </row>
    <row r="670" ht="30" customHeight="1" spans="1:27">
      <c r="A670" s="29" t="s">
        <v>25</v>
      </c>
      <c r="B670" s="29" t="s">
        <v>236</v>
      </c>
      <c r="C670" s="13" t="s">
        <v>312</v>
      </c>
      <c r="D670" s="29" t="s">
        <v>141</v>
      </c>
      <c r="E670" s="19">
        <v>11000</v>
      </c>
      <c r="F670" s="20"/>
      <c r="G670" s="29"/>
      <c r="H670" s="33"/>
      <c r="I670" s="29"/>
      <c r="J670" s="29" t="s">
        <v>67</v>
      </c>
      <c r="AA670" t="str">
        <f t="shared" si="10"/>
        <v>Rice</v>
      </c>
    </row>
    <row r="671" ht="30" customHeight="1" spans="1:27">
      <c r="A671" s="29" t="s">
        <v>25</v>
      </c>
      <c r="B671" s="29" t="s">
        <v>236</v>
      </c>
      <c r="C671" s="13" t="s">
        <v>314</v>
      </c>
      <c r="D671" s="29" t="s">
        <v>240</v>
      </c>
      <c r="E671" s="23">
        <v>1283.1927</v>
      </c>
      <c r="F671" s="24">
        <v>117.8084</v>
      </c>
      <c r="G671" s="29"/>
      <c r="H671" s="33"/>
      <c r="I671" s="33"/>
      <c r="J671" s="29" t="s">
        <v>64</v>
      </c>
      <c r="AA671" t="str">
        <f t="shared" si="10"/>
        <v>Rice</v>
      </c>
    </row>
    <row r="672" ht="30" customHeight="1" spans="1:27">
      <c r="A672" s="29" t="s">
        <v>25</v>
      </c>
      <c r="B672" s="29" t="s">
        <v>236</v>
      </c>
      <c r="C672" s="13" t="s">
        <v>314</v>
      </c>
      <c r="D672" s="29" t="s">
        <v>70</v>
      </c>
      <c r="E672" s="23">
        <v>5774.3671</v>
      </c>
      <c r="F672" s="20"/>
      <c r="G672" s="29"/>
      <c r="H672" s="33"/>
      <c r="I672" s="29"/>
      <c r="J672" s="29" t="s">
        <v>64</v>
      </c>
      <c r="AA672" t="str">
        <f t="shared" si="10"/>
        <v>Rice</v>
      </c>
    </row>
    <row r="673" ht="30" customHeight="1" spans="1:27">
      <c r="A673" s="29" t="s">
        <v>25</v>
      </c>
      <c r="B673" s="29" t="s">
        <v>236</v>
      </c>
      <c r="C673" s="13" t="s">
        <v>314</v>
      </c>
      <c r="D673" s="29" t="s">
        <v>315</v>
      </c>
      <c r="E673" s="19">
        <v>4285</v>
      </c>
      <c r="F673" s="20"/>
      <c r="G673" s="29"/>
      <c r="H673" s="33"/>
      <c r="I673" s="29"/>
      <c r="J673" s="29" t="s">
        <v>67</v>
      </c>
      <c r="AA673" t="str">
        <f t="shared" si="10"/>
        <v>Rice</v>
      </c>
    </row>
    <row r="674" ht="30" customHeight="1" spans="1:27">
      <c r="A674" s="29" t="s">
        <v>25</v>
      </c>
      <c r="B674" s="29" t="s">
        <v>236</v>
      </c>
      <c r="C674" s="13" t="s">
        <v>314</v>
      </c>
      <c r="D674" s="29" t="s">
        <v>71</v>
      </c>
      <c r="E674" s="23">
        <v>371.5972</v>
      </c>
      <c r="F674" s="20"/>
      <c r="G674" s="29"/>
      <c r="H674" s="33"/>
      <c r="I674" s="29"/>
      <c r="J674" s="29" t="s">
        <v>64</v>
      </c>
      <c r="AA674" t="str">
        <f t="shared" si="10"/>
        <v>Rice</v>
      </c>
    </row>
    <row r="675" ht="30" customHeight="1" spans="1:27">
      <c r="A675" s="29" t="s">
        <v>25</v>
      </c>
      <c r="B675" s="29" t="s">
        <v>236</v>
      </c>
      <c r="C675" s="13" t="s">
        <v>316</v>
      </c>
      <c r="D675" s="29" t="s">
        <v>265</v>
      </c>
      <c r="E675" s="19">
        <v>5000</v>
      </c>
      <c r="F675" s="20"/>
      <c r="G675" s="29"/>
      <c r="H675" s="33"/>
      <c r="I675" s="29"/>
      <c r="J675" s="29" t="s">
        <v>80</v>
      </c>
      <c r="AA675" t="str">
        <f t="shared" si="10"/>
        <v>Livestock (Cattle/Carabao/Swine/Poultry)</v>
      </c>
    </row>
    <row r="676" ht="30" customHeight="1" spans="1:27">
      <c r="A676" s="29" t="s">
        <v>25</v>
      </c>
      <c r="B676" s="29" t="s">
        <v>236</v>
      </c>
      <c r="C676" s="13" t="s">
        <v>316</v>
      </c>
      <c r="D676" s="29" t="s">
        <v>317</v>
      </c>
      <c r="E676" s="19">
        <v>1500</v>
      </c>
      <c r="F676" s="20"/>
      <c r="G676" s="29"/>
      <c r="H676" s="33"/>
      <c r="I676" s="29"/>
      <c r="J676" s="29" t="s">
        <v>80</v>
      </c>
      <c r="AA676" t="str">
        <f t="shared" si="10"/>
        <v>Livestock (Cattle/Carabao/Swine/Poultry)</v>
      </c>
    </row>
    <row r="677" ht="30" customHeight="1" spans="1:27">
      <c r="A677" s="29" t="s">
        <v>25</v>
      </c>
      <c r="B677" s="29" t="s">
        <v>236</v>
      </c>
      <c r="C677" s="13" t="s">
        <v>316</v>
      </c>
      <c r="D677" s="30" t="s">
        <v>318</v>
      </c>
      <c r="E677" s="19">
        <v>27000</v>
      </c>
      <c r="F677" s="20"/>
      <c r="G677" s="29"/>
      <c r="H677" s="29"/>
      <c r="I677" s="29"/>
      <c r="J677" s="29" t="s">
        <v>29</v>
      </c>
      <c r="AA677" t="str">
        <f t="shared" si="10"/>
        <v>Farm-to-Market Road</v>
      </c>
    </row>
    <row r="678" ht="30" customHeight="1" spans="1:27">
      <c r="A678" s="29" t="s">
        <v>25</v>
      </c>
      <c r="B678" s="29" t="s">
        <v>236</v>
      </c>
      <c r="C678" s="13" t="s">
        <v>316</v>
      </c>
      <c r="D678" s="30" t="s">
        <v>319</v>
      </c>
      <c r="E678" s="19"/>
      <c r="F678" s="20">
        <v>18300</v>
      </c>
      <c r="G678" s="29"/>
      <c r="H678" s="29"/>
      <c r="I678" s="29"/>
      <c r="J678" s="29" t="s">
        <v>29</v>
      </c>
      <c r="AA678" t="str">
        <f t="shared" si="10"/>
        <v>Farm-to-Market Road</v>
      </c>
    </row>
    <row r="679" ht="30" customHeight="1" spans="1:27">
      <c r="A679" s="29" t="s">
        <v>25</v>
      </c>
      <c r="B679" s="29" t="s">
        <v>236</v>
      </c>
      <c r="C679" s="13" t="s">
        <v>316</v>
      </c>
      <c r="D679" s="29" t="s">
        <v>240</v>
      </c>
      <c r="E679" s="23">
        <v>25818.5819</v>
      </c>
      <c r="F679" s="24">
        <v>2370.3735</v>
      </c>
      <c r="G679" s="29"/>
      <c r="H679" s="33"/>
      <c r="I679" s="33"/>
      <c r="J679" s="29" t="s">
        <v>64</v>
      </c>
      <c r="AA679" t="str">
        <f t="shared" si="10"/>
        <v>Rice</v>
      </c>
    </row>
    <row r="680" ht="30" customHeight="1" spans="1:27">
      <c r="A680" s="29" t="s">
        <v>25</v>
      </c>
      <c r="B680" s="29" t="s">
        <v>236</v>
      </c>
      <c r="C680" s="13" t="s">
        <v>316</v>
      </c>
      <c r="D680" s="29" t="s">
        <v>90</v>
      </c>
      <c r="E680" s="19"/>
      <c r="F680" s="20"/>
      <c r="G680" s="29"/>
      <c r="H680" s="33"/>
      <c r="I680" s="33"/>
      <c r="J680" s="29" t="s">
        <v>75</v>
      </c>
      <c r="AA680" t="str">
        <f t="shared" si="10"/>
        <v>Corn</v>
      </c>
    </row>
    <row r="681" ht="30" customHeight="1" spans="1:27">
      <c r="A681" s="29" t="s">
        <v>25</v>
      </c>
      <c r="B681" s="29" t="s">
        <v>236</v>
      </c>
      <c r="C681" s="13" t="s">
        <v>316</v>
      </c>
      <c r="D681" s="29" t="s">
        <v>70</v>
      </c>
      <c r="E681" s="23">
        <v>116183.6187</v>
      </c>
      <c r="F681" s="20"/>
      <c r="G681" s="29"/>
      <c r="H681" s="33"/>
      <c r="I681" s="29"/>
      <c r="J681" s="29" t="s">
        <v>64</v>
      </c>
      <c r="AA681" t="str">
        <f t="shared" si="10"/>
        <v>Rice</v>
      </c>
    </row>
    <row r="682" ht="30" customHeight="1" spans="1:27">
      <c r="A682" s="29" t="s">
        <v>25</v>
      </c>
      <c r="B682" s="29" t="s">
        <v>236</v>
      </c>
      <c r="C682" s="13" t="s">
        <v>316</v>
      </c>
      <c r="D682" s="29" t="s">
        <v>71</v>
      </c>
      <c r="E682" s="23">
        <v>7476.7505</v>
      </c>
      <c r="F682" s="20"/>
      <c r="G682" s="29"/>
      <c r="H682" s="33"/>
      <c r="I682" s="29"/>
      <c r="J682" s="29" t="s">
        <v>64</v>
      </c>
      <c r="AA682" t="str">
        <f t="shared" si="10"/>
        <v>Rice</v>
      </c>
    </row>
    <row r="683" ht="30" customHeight="1" spans="1:27">
      <c r="A683" s="29" t="s">
        <v>25</v>
      </c>
      <c r="B683" s="29" t="s">
        <v>236</v>
      </c>
      <c r="C683" s="13" t="s">
        <v>316</v>
      </c>
      <c r="D683" s="29" t="s">
        <v>72</v>
      </c>
      <c r="E683" s="19">
        <v>1330.82</v>
      </c>
      <c r="F683" s="20"/>
      <c r="G683" s="29"/>
      <c r="H683" s="33"/>
      <c r="I683" s="29"/>
      <c r="J683" s="29" t="s">
        <v>35</v>
      </c>
      <c r="AA683" t="str">
        <f t="shared" si="10"/>
        <v>High Value Crops (Vegetables/Fruits/Rootcrops)</v>
      </c>
    </row>
    <row r="684" ht="30" customHeight="1" spans="1:27">
      <c r="A684" s="29" t="s">
        <v>25</v>
      </c>
      <c r="B684" s="29" t="s">
        <v>236</v>
      </c>
      <c r="C684" s="13" t="s">
        <v>316</v>
      </c>
      <c r="D684" s="29" t="s">
        <v>121</v>
      </c>
      <c r="E684" s="19">
        <v>2500</v>
      </c>
      <c r="F684" s="20"/>
      <c r="G684" s="29"/>
      <c r="H684" s="33"/>
      <c r="I684" s="29"/>
      <c r="J684" s="29" t="s">
        <v>75</v>
      </c>
      <c r="AA684" t="str">
        <f t="shared" si="10"/>
        <v>Corn</v>
      </c>
    </row>
    <row r="685" ht="30" customHeight="1" spans="1:27">
      <c r="A685" s="29" t="s">
        <v>25</v>
      </c>
      <c r="B685" s="29" t="s">
        <v>236</v>
      </c>
      <c r="C685" s="13" t="s">
        <v>316</v>
      </c>
      <c r="D685" s="29" t="s">
        <v>122</v>
      </c>
      <c r="E685" s="19">
        <v>1250</v>
      </c>
      <c r="F685" s="20"/>
      <c r="G685" s="29"/>
      <c r="H685" s="33"/>
      <c r="I685" s="29"/>
      <c r="J685" s="29" t="s">
        <v>96</v>
      </c>
      <c r="AA685" t="str">
        <f t="shared" si="10"/>
        <v>Corn</v>
      </c>
    </row>
    <row r="686" ht="30" customHeight="1" spans="1:27">
      <c r="A686" s="29" t="s">
        <v>25</v>
      </c>
      <c r="B686" s="29" t="s">
        <v>236</v>
      </c>
      <c r="C686" s="13" t="s">
        <v>316</v>
      </c>
      <c r="D686" s="29" t="s">
        <v>123</v>
      </c>
      <c r="E686" s="19">
        <v>12250</v>
      </c>
      <c r="F686" s="20"/>
      <c r="G686" s="29"/>
      <c r="H686" s="33"/>
      <c r="I686" s="29"/>
      <c r="J686" s="29" t="s">
        <v>64</v>
      </c>
      <c r="AA686" t="str">
        <f t="shared" si="10"/>
        <v>Rice</v>
      </c>
    </row>
    <row r="687" ht="30" customHeight="1" spans="1:27">
      <c r="A687" s="29" t="s">
        <v>25</v>
      </c>
      <c r="B687" s="29" t="s">
        <v>236</v>
      </c>
      <c r="C687" s="13" t="s">
        <v>316</v>
      </c>
      <c r="D687" s="29" t="s">
        <v>36</v>
      </c>
      <c r="E687" s="19">
        <v>3225</v>
      </c>
      <c r="F687" s="20"/>
      <c r="G687" s="29"/>
      <c r="H687" s="33"/>
      <c r="I687" s="29"/>
      <c r="J687" s="29" t="s">
        <v>35</v>
      </c>
      <c r="AA687" t="str">
        <f t="shared" si="10"/>
        <v>High Value Crops (Vegetables/Fruits/Rootcrops)</v>
      </c>
    </row>
    <row r="688" ht="30" customHeight="1" spans="1:27">
      <c r="A688" s="29" t="s">
        <v>25</v>
      </c>
      <c r="B688" s="29" t="s">
        <v>236</v>
      </c>
      <c r="C688" s="13" t="s">
        <v>316</v>
      </c>
      <c r="D688" s="29" t="s">
        <v>249</v>
      </c>
      <c r="E688" s="19">
        <v>500</v>
      </c>
      <c r="F688" s="20"/>
      <c r="G688" s="29"/>
      <c r="H688" s="33"/>
      <c r="I688" s="29"/>
      <c r="J688" s="29" t="s">
        <v>75</v>
      </c>
      <c r="AA688" t="str">
        <f t="shared" si="10"/>
        <v>Corn</v>
      </c>
    </row>
    <row r="689" ht="30" customHeight="1" spans="1:27">
      <c r="A689" s="29" t="s">
        <v>25</v>
      </c>
      <c r="B689" s="29" t="s">
        <v>236</v>
      </c>
      <c r="C689" s="13" t="s">
        <v>316</v>
      </c>
      <c r="D689" s="29" t="s">
        <v>74</v>
      </c>
      <c r="E689" s="19"/>
      <c r="F689" s="20"/>
      <c r="G689" s="29"/>
      <c r="H689" s="33"/>
      <c r="I689" s="29"/>
      <c r="J689" s="29" t="s">
        <v>75</v>
      </c>
      <c r="AA689" t="str">
        <f t="shared" si="10"/>
        <v>Corn</v>
      </c>
    </row>
    <row r="690" ht="30" customHeight="1" spans="1:27">
      <c r="A690" s="29" t="s">
        <v>25</v>
      </c>
      <c r="B690" s="29" t="s">
        <v>236</v>
      </c>
      <c r="C690" s="13" t="s">
        <v>316</v>
      </c>
      <c r="D690" s="29" t="s">
        <v>320</v>
      </c>
      <c r="E690" s="19">
        <v>400</v>
      </c>
      <c r="F690" s="20"/>
      <c r="G690" s="29"/>
      <c r="H690" s="33"/>
      <c r="I690" s="29"/>
      <c r="J690" s="29" t="s">
        <v>35</v>
      </c>
      <c r="AA690" t="str">
        <f t="shared" si="10"/>
        <v>High Value Crops (Vegetables/Fruits/Rootcrops)</v>
      </c>
    </row>
    <row r="691" ht="30" customHeight="1" spans="1:27">
      <c r="A691" s="29" t="s">
        <v>25</v>
      </c>
      <c r="B691" s="29" t="s">
        <v>236</v>
      </c>
      <c r="C691" s="13" t="s">
        <v>321</v>
      </c>
      <c r="D691" s="30" t="s">
        <v>322</v>
      </c>
      <c r="E691" s="19"/>
      <c r="F691" s="20">
        <v>24000</v>
      </c>
      <c r="G691" s="29"/>
      <c r="H691" s="29"/>
      <c r="I691" s="29"/>
      <c r="J691" s="29" t="s">
        <v>29</v>
      </c>
      <c r="AA691" t="str">
        <f t="shared" si="10"/>
        <v>Farm-to-Market Road</v>
      </c>
    </row>
    <row r="692" ht="30" customHeight="1" spans="1:27">
      <c r="A692" s="29" t="s">
        <v>25</v>
      </c>
      <c r="B692" s="29" t="s">
        <v>236</v>
      </c>
      <c r="C692" s="13" t="s">
        <v>321</v>
      </c>
      <c r="D692" s="30" t="s">
        <v>323</v>
      </c>
      <c r="E692" s="19"/>
      <c r="F692" s="20">
        <v>31500</v>
      </c>
      <c r="G692" s="29"/>
      <c r="H692" s="29"/>
      <c r="I692" s="29"/>
      <c r="J692" s="29" t="s">
        <v>29</v>
      </c>
      <c r="AA692" t="str">
        <f t="shared" si="10"/>
        <v>Farm-to-Market Road</v>
      </c>
    </row>
    <row r="693" ht="30" customHeight="1" spans="1:27">
      <c r="A693" s="29" t="s">
        <v>25</v>
      </c>
      <c r="B693" s="29" t="s">
        <v>236</v>
      </c>
      <c r="C693" s="13" t="s">
        <v>321</v>
      </c>
      <c r="D693" s="30" t="s">
        <v>324</v>
      </c>
      <c r="E693" s="19"/>
      <c r="F693" s="20">
        <v>21000</v>
      </c>
      <c r="G693" s="29"/>
      <c r="H693" s="29"/>
      <c r="I693" s="29"/>
      <c r="J693" s="29" t="s">
        <v>29</v>
      </c>
      <c r="AA693" t="str">
        <f t="shared" si="10"/>
        <v>Farm-to-Market Road</v>
      </c>
    </row>
    <row r="694" ht="30" customHeight="1" spans="1:27">
      <c r="A694" s="29" t="s">
        <v>25</v>
      </c>
      <c r="B694" s="29" t="s">
        <v>236</v>
      </c>
      <c r="C694" s="13" t="s">
        <v>321</v>
      </c>
      <c r="D694" s="30" t="s">
        <v>325</v>
      </c>
      <c r="E694" s="19">
        <v>15000</v>
      </c>
      <c r="F694" s="20"/>
      <c r="G694" s="29"/>
      <c r="H694" s="29"/>
      <c r="I694" s="29"/>
      <c r="J694" s="29" t="s">
        <v>29</v>
      </c>
      <c r="AA694" t="str">
        <f t="shared" si="10"/>
        <v>Farm-to-Market Road</v>
      </c>
    </row>
    <row r="695" ht="30" customHeight="1" spans="1:27">
      <c r="A695" s="29" t="s">
        <v>25</v>
      </c>
      <c r="B695" s="29" t="s">
        <v>236</v>
      </c>
      <c r="C695" s="13" t="s">
        <v>321</v>
      </c>
      <c r="D695" s="30" t="s">
        <v>326</v>
      </c>
      <c r="E695" s="19"/>
      <c r="F695" s="20">
        <v>15000</v>
      </c>
      <c r="G695" s="29"/>
      <c r="H695" s="29"/>
      <c r="I695" s="29"/>
      <c r="J695" s="29" t="s">
        <v>29</v>
      </c>
      <c r="AA695" t="str">
        <f t="shared" si="10"/>
        <v>Farm-to-Market Road</v>
      </c>
    </row>
    <row r="696" ht="45" customHeight="1" spans="1:27">
      <c r="A696" s="29" t="s">
        <v>25</v>
      </c>
      <c r="B696" s="29" t="s">
        <v>236</v>
      </c>
      <c r="C696" s="13" t="s">
        <v>321</v>
      </c>
      <c r="D696" s="30" t="s">
        <v>327</v>
      </c>
      <c r="E696" s="19"/>
      <c r="F696" s="20">
        <v>22500</v>
      </c>
      <c r="G696" s="29"/>
      <c r="H696" s="29"/>
      <c r="I696" s="29"/>
      <c r="J696" s="29" t="s">
        <v>29</v>
      </c>
      <c r="AA696" t="str">
        <f t="shared" si="10"/>
        <v>Farm-to-Market Road</v>
      </c>
    </row>
    <row r="697" ht="30" customHeight="1" spans="1:27">
      <c r="A697" s="29" t="s">
        <v>25</v>
      </c>
      <c r="B697" s="29" t="s">
        <v>236</v>
      </c>
      <c r="C697" s="13" t="s">
        <v>321</v>
      </c>
      <c r="D697" s="29" t="s">
        <v>63</v>
      </c>
      <c r="E697" s="23">
        <v>7597.3949</v>
      </c>
      <c r="F697" s="24">
        <v>697.5078</v>
      </c>
      <c r="G697" s="29"/>
      <c r="H697" s="33"/>
      <c r="I697" s="33"/>
      <c r="J697" s="29" t="s">
        <v>64</v>
      </c>
      <c r="AA697" t="str">
        <f t="shared" si="10"/>
        <v>Rice</v>
      </c>
    </row>
    <row r="698" ht="30" customHeight="1" spans="1:27">
      <c r="A698" s="29" t="s">
        <v>25</v>
      </c>
      <c r="B698" s="29" t="s">
        <v>236</v>
      </c>
      <c r="C698" s="13" t="s">
        <v>321</v>
      </c>
      <c r="D698" s="29" t="s">
        <v>66</v>
      </c>
      <c r="E698" s="19">
        <v>1500</v>
      </c>
      <c r="F698" s="20"/>
      <c r="G698" s="29"/>
      <c r="H698" s="33"/>
      <c r="I698" s="29"/>
      <c r="J698" s="29" t="s">
        <v>67</v>
      </c>
      <c r="AA698" t="str">
        <f t="shared" si="10"/>
        <v>Rice</v>
      </c>
    </row>
    <row r="699" ht="30" customHeight="1" spans="1:27">
      <c r="A699" s="29" t="s">
        <v>25</v>
      </c>
      <c r="B699" s="29" t="s">
        <v>236</v>
      </c>
      <c r="C699" s="13" t="s">
        <v>321</v>
      </c>
      <c r="D699" s="29" t="s">
        <v>69</v>
      </c>
      <c r="E699" s="19">
        <v>2300</v>
      </c>
      <c r="F699" s="20"/>
      <c r="G699" s="29"/>
      <c r="H699" s="33"/>
      <c r="I699" s="29"/>
      <c r="J699" s="29" t="s">
        <v>67</v>
      </c>
      <c r="AA699" t="str">
        <f t="shared" si="10"/>
        <v>Rice</v>
      </c>
    </row>
    <row r="700" ht="30" customHeight="1" spans="1:27">
      <c r="A700" s="29" t="s">
        <v>25</v>
      </c>
      <c r="B700" s="29" t="s">
        <v>236</v>
      </c>
      <c r="C700" s="13" t="s">
        <v>321</v>
      </c>
      <c r="D700" s="29" t="s">
        <v>90</v>
      </c>
      <c r="E700" s="19"/>
      <c r="F700" s="20"/>
      <c r="G700" s="29"/>
      <c r="H700" s="33"/>
      <c r="I700" s="33"/>
      <c r="J700" s="29" t="s">
        <v>75</v>
      </c>
      <c r="AA700" t="str">
        <f t="shared" si="10"/>
        <v>Corn</v>
      </c>
    </row>
    <row r="701" ht="30" customHeight="1" spans="1:27">
      <c r="A701" s="29" t="s">
        <v>25</v>
      </c>
      <c r="B701" s="29" t="s">
        <v>236</v>
      </c>
      <c r="C701" s="13" t="s">
        <v>321</v>
      </c>
      <c r="D701" s="29" t="s">
        <v>70</v>
      </c>
      <c r="E701" s="23">
        <v>34188.277</v>
      </c>
      <c r="F701" s="20"/>
      <c r="G701" s="29"/>
      <c r="H701" s="33"/>
      <c r="I701" s="29"/>
      <c r="J701" s="29" t="s">
        <v>64</v>
      </c>
      <c r="AA701" t="str">
        <f t="shared" si="10"/>
        <v>Rice</v>
      </c>
    </row>
    <row r="702" ht="30" customHeight="1" spans="1:27">
      <c r="A702" s="29" t="s">
        <v>25</v>
      </c>
      <c r="B702" s="29" t="s">
        <v>236</v>
      </c>
      <c r="C702" s="13" t="s">
        <v>321</v>
      </c>
      <c r="D702" s="29" t="s">
        <v>71</v>
      </c>
      <c r="E702" s="23">
        <v>2200.1141</v>
      </c>
      <c r="F702" s="20"/>
      <c r="G702" s="29"/>
      <c r="H702" s="33"/>
      <c r="I702" s="29"/>
      <c r="J702" s="29" t="s">
        <v>64</v>
      </c>
      <c r="AA702" t="str">
        <f t="shared" si="10"/>
        <v>Rice</v>
      </c>
    </row>
    <row r="703" ht="30" customHeight="1" spans="1:27">
      <c r="A703" s="29" t="s">
        <v>25</v>
      </c>
      <c r="B703" s="29" t="s">
        <v>236</v>
      </c>
      <c r="C703" s="13" t="s">
        <v>321</v>
      </c>
      <c r="D703" s="29" t="s">
        <v>328</v>
      </c>
      <c r="E703" s="19">
        <v>1500</v>
      </c>
      <c r="F703" s="20"/>
      <c r="G703" s="29"/>
      <c r="H703" s="33"/>
      <c r="I703" s="29"/>
      <c r="J703" s="29" t="s">
        <v>67</v>
      </c>
      <c r="AA703" t="str">
        <f t="shared" si="10"/>
        <v>Rice</v>
      </c>
    </row>
    <row r="704" ht="30" customHeight="1" spans="1:27">
      <c r="A704" s="29" t="s">
        <v>25</v>
      </c>
      <c r="B704" s="29" t="s">
        <v>236</v>
      </c>
      <c r="C704" s="13" t="s">
        <v>321</v>
      </c>
      <c r="D704" s="29" t="s">
        <v>73</v>
      </c>
      <c r="E704" s="19">
        <v>14400</v>
      </c>
      <c r="F704" s="20"/>
      <c r="G704" s="29"/>
      <c r="H704" s="33"/>
      <c r="I704" s="29"/>
      <c r="J704" s="29" t="s">
        <v>64</v>
      </c>
      <c r="AA704" t="str">
        <f t="shared" si="10"/>
        <v>Rice</v>
      </c>
    </row>
    <row r="705" ht="30" customHeight="1" spans="1:27">
      <c r="A705" s="29" t="s">
        <v>25</v>
      </c>
      <c r="B705" s="29" t="s">
        <v>236</v>
      </c>
      <c r="C705" s="13" t="s">
        <v>321</v>
      </c>
      <c r="D705" s="29" t="s">
        <v>74</v>
      </c>
      <c r="E705" s="19"/>
      <c r="F705" s="20"/>
      <c r="G705" s="29"/>
      <c r="H705" s="33"/>
      <c r="I705" s="29"/>
      <c r="J705" s="29" t="s">
        <v>75</v>
      </c>
      <c r="AA705" t="str">
        <f t="shared" si="10"/>
        <v>Corn</v>
      </c>
    </row>
    <row r="706" ht="30" customHeight="1" spans="1:27">
      <c r="A706" s="29" t="s">
        <v>25</v>
      </c>
      <c r="B706" s="29" t="s">
        <v>236</v>
      </c>
      <c r="C706" s="13" t="s">
        <v>329</v>
      </c>
      <c r="D706" s="30" t="s">
        <v>330</v>
      </c>
      <c r="E706" s="19">
        <v>33000</v>
      </c>
      <c r="F706" s="20"/>
      <c r="G706" s="29"/>
      <c r="H706" s="29"/>
      <c r="I706" s="29"/>
      <c r="J706" s="29" t="s">
        <v>29</v>
      </c>
      <c r="AA706" t="str">
        <f t="shared" si="10"/>
        <v>Farm-to-Market Road</v>
      </c>
    </row>
    <row r="707" ht="30" customHeight="1" spans="1:27">
      <c r="A707" s="29" t="s">
        <v>25</v>
      </c>
      <c r="B707" s="29" t="s">
        <v>236</v>
      </c>
      <c r="C707" s="13" t="s">
        <v>329</v>
      </c>
      <c r="D707" s="29" t="s">
        <v>63</v>
      </c>
      <c r="E707" s="23">
        <v>1382.0328</v>
      </c>
      <c r="F707" s="24">
        <v>126.8828</v>
      </c>
      <c r="G707" s="29"/>
      <c r="H707" s="33"/>
      <c r="I707" s="33"/>
      <c r="J707" s="29" t="s">
        <v>64</v>
      </c>
      <c r="AA707" t="str">
        <f t="shared" si="10"/>
        <v>Rice</v>
      </c>
    </row>
    <row r="708" ht="30" customHeight="1" spans="1:27">
      <c r="A708" s="29" t="s">
        <v>25</v>
      </c>
      <c r="B708" s="29" t="s">
        <v>236</v>
      </c>
      <c r="C708" s="13" t="s">
        <v>329</v>
      </c>
      <c r="D708" s="29" t="s">
        <v>70</v>
      </c>
      <c r="E708" s="23">
        <v>6219.1476</v>
      </c>
      <c r="F708" s="20"/>
      <c r="G708" s="29"/>
      <c r="H708" s="33"/>
      <c r="I708" s="29"/>
      <c r="J708" s="29" t="s">
        <v>64</v>
      </c>
      <c r="AA708" t="str">
        <f t="shared" si="10"/>
        <v>Rice</v>
      </c>
    </row>
    <row r="709" ht="30" customHeight="1" spans="1:27">
      <c r="A709" s="29" t="s">
        <v>25</v>
      </c>
      <c r="B709" s="29" t="s">
        <v>236</v>
      </c>
      <c r="C709" s="13" t="s">
        <v>329</v>
      </c>
      <c r="D709" s="29" t="s">
        <v>71</v>
      </c>
      <c r="E709" s="23">
        <v>400.2201</v>
      </c>
      <c r="F709" s="20"/>
      <c r="G709" s="29"/>
      <c r="H709" s="33"/>
      <c r="I709" s="29"/>
      <c r="J709" s="29" t="s">
        <v>64</v>
      </c>
      <c r="AA709" t="str">
        <f t="shared" si="10"/>
        <v>Rice</v>
      </c>
    </row>
    <row r="710" ht="30" customHeight="1" spans="1:27">
      <c r="A710" s="29" t="s">
        <v>25</v>
      </c>
      <c r="B710" s="29" t="s">
        <v>236</v>
      </c>
      <c r="C710" s="13" t="s">
        <v>331</v>
      </c>
      <c r="D710" s="30" t="s">
        <v>332</v>
      </c>
      <c r="E710" s="19"/>
      <c r="F710" s="20">
        <v>21150</v>
      </c>
      <c r="G710" s="29"/>
      <c r="H710" s="29"/>
      <c r="I710" s="29"/>
      <c r="J710" s="29" t="s">
        <v>29</v>
      </c>
      <c r="AA710" t="str">
        <f t="shared" si="10"/>
        <v>Farm-to-Market Road</v>
      </c>
    </row>
    <row r="711" ht="30" customHeight="1" spans="1:27">
      <c r="A711" s="29" t="s">
        <v>25</v>
      </c>
      <c r="B711" s="29" t="s">
        <v>236</v>
      </c>
      <c r="C711" s="13" t="s">
        <v>331</v>
      </c>
      <c r="D711" s="30" t="s">
        <v>333</v>
      </c>
      <c r="E711" s="19"/>
      <c r="F711" s="20">
        <v>20850</v>
      </c>
      <c r="G711" s="29"/>
      <c r="H711" s="29"/>
      <c r="I711" s="29"/>
      <c r="J711" s="29" t="s">
        <v>29</v>
      </c>
      <c r="AA711" t="str">
        <f t="shared" si="10"/>
        <v>Farm-to-Market Road</v>
      </c>
    </row>
    <row r="712" ht="45" customHeight="1" spans="1:27">
      <c r="A712" s="29" t="s">
        <v>25</v>
      </c>
      <c r="B712" s="29" t="s">
        <v>236</v>
      </c>
      <c r="C712" s="13" t="s">
        <v>331</v>
      </c>
      <c r="D712" s="30" t="s">
        <v>334</v>
      </c>
      <c r="E712" s="19"/>
      <c r="F712" s="20">
        <v>32250</v>
      </c>
      <c r="G712" s="29"/>
      <c r="H712" s="29"/>
      <c r="I712" s="29"/>
      <c r="J712" s="29" t="s">
        <v>29</v>
      </c>
      <c r="AA712" t="str">
        <f t="shared" si="10"/>
        <v>Farm-to-Market Road</v>
      </c>
    </row>
    <row r="713" ht="30" customHeight="1" spans="1:27">
      <c r="A713" s="29" t="s">
        <v>25</v>
      </c>
      <c r="B713" s="29" t="s">
        <v>236</v>
      </c>
      <c r="C713" s="13" t="s">
        <v>331</v>
      </c>
      <c r="D713" s="30" t="s">
        <v>335</v>
      </c>
      <c r="E713" s="19"/>
      <c r="F713" s="20">
        <v>24900</v>
      </c>
      <c r="G713" s="29"/>
      <c r="H713" s="29"/>
      <c r="I713" s="29"/>
      <c r="J713" s="29" t="s">
        <v>29</v>
      </c>
      <c r="AA713" t="str">
        <f t="shared" si="10"/>
        <v>Farm-to-Market Road</v>
      </c>
    </row>
    <row r="714" ht="30" customHeight="1" spans="1:27">
      <c r="A714" s="29" t="s">
        <v>25</v>
      </c>
      <c r="B714" s="29" t="s">
        <v>236</v>
      </c>
      <c r="C714" s="13" t="s">
        <v>331</v>
      </c>
      <c r="D714" s="30" t="s">
        <v>336</v>
      </c>
      <c r="E714" s="19">
        <v>18000</v>
      </c>
      <c r="F714" s="20"/>
      <c r="G714" s="29"/>
      <c r="H714" s="29"/>
      <c r="I714" s="29"/>
      <c r="J714" s="29" t="s">
        <v>29</v>
      </c>
      <c r="AA714" t="str">
        <f t="shared" ref="AA714:AA777" si="11">_xlfn.IFS(J714="DA-FMRDP","Farm-to-Market Road",J714="DA-RFO2 RICE","Rice",J714="DA-RFO2 Rice Program","Rice",J714="DA-RFO2 CORN","Corn",J714="DA-RFO2 Corn Program","Corn",J714="DA-RFO2 HVCDP","High Value Crops (Vegetables/Fruits/Rootcrops)",J714="DA-RFO2 HVCDP Export","High Value Export Crops (Dragon Fruit/Ube/Okra/Banana)",J714="DA-RFO2 HVCDP Coffee","Coffee (HVCDP)",J714="DA-RFO2 LIVESTOCK","Livestock (Cattle/Carabao/Swine/Poultry)",J714="DA-RFO2 SAAD","Various Commodities (SAAD)",J714="DA-RFO2 4K","Various Commodities (4Ks)",J714="DA-RFO2 4KS","Various Commodities (4Ks)",J714="DA-RFO2 HALAL","Halal Food Products",J714="DA-RFO2 OAP","Organic Agriculture",J714="DA-RFO2 NUPAP","Vegetables (NUPAP/Urban Agri)",TRUE,IF(ISNUMBER(SEARCH("FMR",D714)),"Farm-to-Market Road",IF(ISNUMBER(SEARCH("RICE",D714)),"Rice",IF(ISNUMBER(SEARCH("CORN",D714)),"Corn",IF(ISNUMBER(SEARCH("HVCDP COFFEE",D714)),"Coffee (HVCDP)",IF(ISNUMBER(SEARCH("HVCDP EXPORT",D714)),"High Value Export Crops (Dragon Fruit/Ube/Okra/Banana)",IF(ISNUMBER(SEARCH("HVCDP",D714)),"High Value Crops (Vegetables/Fruits/Rootcrops)",IF(ISNUMBER(SEARCH("LIVESTOCK",D714)),"Livestock (Cattle/Carabao/Swine/Poultry)",IF(ISNUMBER(SEARCH("SAAD",D714)),"Various Commodities (SAAD)",IF(ISNUMBER(SEARCH("4KS",D714)),"Various Commodities (4Ks)",IF(ISNUMBER(SEARCH("4K",D714)),"Various Commodities (4Ks)",IF(ISNUMBER(SEARCH("HALAL",D714)),"Halal Food Products",IF(ISNUMBER(SEARCH("OAP",D714)),"Organic Agriculture",IF(ISNUMBER(SEARCH("NUPAP",D714)),"Vegetables (NUPAP/Urban Agri)",""))))))))))))))</f>
        <v>Farm-to-Market Road</v>
      </c>
    </row>
    <row r="715" ht="30" customHeight="1" spans="1:27">
      <c r="A715" s="29" t="s">
        <v>25</v>
      </c>
      <c r="B715" s="29" t="s">
        <v>236</v>
      </c>
      <c r="C715" s="13" t="s">
        <v>331</v>
      </c>
      <c r="D715" s="29" t="s">
        <v>240</v>
      </c>
      <c r="E715" s="23">
        <v>23606.2057</v>
      </c>
      <c r="F715" s="24">
        <v>2167.2578</v>
      </c>
      <c r="G715" s="29"/>
      <c r="H715" s="33"/>
      <c r="I715" s="33"/>
      <c r="J715" s="29" t="s">
        <v>64</v>
      </c>
      <c r="AA715" t="str">
        <f t="shared" si="11"/>
        <v>Rice</v>
      </c>
    </row>
    <row r="716" ht="30" customHeight="1" spans="1:27">
      <c r="A716" s="29" t="s">
        <v>25</v>
      </c>
      <c r="B716" s="29" t="s">
        <v>236</v>
      </c>
      <c r="C716" s="13" t="s">
        <v>331</v>
      </c>
      <c r="D716" s="29" t="s">
        <v>69</v>
      </c>
      <c r="E716" s="19">
        <v>2300</v>
      </c>
      <c r="F716" s="20"/>
      <c r="G716" s="29"/>
      <c r="H716" s="33"/>
      <c r="I716" s="29"/>
      <c r="J716" s="29" t="s">
        <v>67</v>
      </c>
      <c r="AA716" t="str">
        <f t="shared" si="11"/>
        <v>Rice</v>
      </c>
    </row>
    <row r="717" ht="45" customHeight="1" spans="1:27">
      <c r="A717" s="29" t="s">
        <v>25</v>
      </c>
      <c r="B717" s="29" t="s">
        <v>236</v>
      </c>
      <c r="C717" s="13" t="s">
        <v>331</v>
      </c>
      <c r="D717" s="29" t="s">
        <v>70</v>
      </c>
      <c r="E717" s="23">
        <v>106227.9258</v>
      </c>
      <c r="F717" s="20"/>
      <c r="G717" s="29"/>
      <c r="H717" s="33"/>
      <c r="I717" s="29"/>
      <c r="J717" s="29" t="s">
        <v>64</v>
      </c>
      <c r="AA717" t="str">
        <f t="shared" si="11"/>
        <v>Rice</v>
      </c>
    </row>
    <row r="718" ht="30" customHeight="1" spans="1:27">
      <c r="A718" s="29" t="s">
        <v>25</v>
      </c>
      <c r="B718" s="29" t="s">
        <v>236</v>
      </c>
      <c r="C718" s="13" t="s">
        <v>331</v>
      </c>
      <c r="D718" s="29" t="s">
        <v>71</v>
      </c>
      <c r="E718" s="23">
        <v>6836.073</v>
      </c>
      <c r="F718" s="20"/>
      <c r="G718" s="29"/>
      <c r="H718" s="33"/>
      <c r="I718" s="29"/>
      <c r="J718" s="29" t="s">
        <v>64</v>
      </c>
      <c r="AA718" t="str">
        <f t="shared" si="11"/>
        <v>Rice</v>
      </c>
    </row>
    <row r="719" ht="30" customHeight="1" spans="1:27">
      <c r="A719" s="29" t="s">
        <v>25</v>
      </c>
      <c r="B719" s="29" t="s">
        <v>236</v>
      </c>
      <c r="C719" s="13" t="s">
        <v>331</v>
      </c>
      <c r="D719" s="29" t="s">
        <v>98</v>
      </c>
      <c r="E719" s="19">
        <v>55.64595</v>
      </c>
      <c r="F719" s="20"/>
      <c r="G719" s="29"/>
      <c r="H719" s="33"/>
      <c r="I719" s="29"/>
      <c r="J719" s="29" t="s">
        <v>35</v>
      </c>
      <c r="AA719" t="str">
        <f t="shared" si="11"/>
        <v>High Value Crops (Vegetables/Fruits/Rootcrops)</v>
      </c>
    </row>
    <row r="720" ht="30" customHeight="1" spans="1:27">
      <c r="A720" s="29" t="s">
        <v>25</v>
      </c>
      <c r="B720" s="29" t="s">
        <v>236</v>
      </c>
      <c r="C720" s="13" t="s">
        <v>331</v>
      </c>
      <c r="D720" s="29" t="s">
        <v>36</v>
      </c>
      <c r="E720" s="19">
        <v>500</v>
      </c>
      <c r="F720" s="20"/>
      <c r="G720" s="29"/>
      <c r="H720" s="33"/>
      <c r="I720" s="29"/>
      <c r="J720" s="29" t="s">
        <v>35</v>
      </c>
      <c r="AA720" t="str">
        <f t="shared" si="11"/>
        <v>High Value Crops (Vegetables/Fruits/Rootcrops)</v>
      </c>
    </row>
    <row r="721" ht="30" customHeight="1" spans="1:27">
      <c r="A721" s="29" t="s">
        <v>25</v>
      </c>
      <c r="B721" s="29" t="s">
        <v>236</v>
      </c>
      <c r="C721" s="13" t="s">
        <v>331</v>
      </c>
      <c r="D721" s="29" t="s">
        <v>337</v>
      </c>
      <c r="E721" s="19">
        <v>12000</v>
      </c>
      <c r="F721" s="20"/>
      <c r="G721" s="29"/>
      <c r="H721" s="33"/>
      <c r="I721" s="29"/>
      <c r="J721" s="29" t="s">
        <v>67</v>
      </c>
      <c r="AA721" t="str">
        <f t="shared" si="11"/>
        <v>Rice</v>
      </c>
    </row>
    <row r="722" ht="30" customHeight="1" spans="1:27">
      <c r="A722" s="29" t="s">
        <v>25</v>
      </c>
      <c r="B722" s="29" t="s">
        <v>236</v>
      </c>
      <c r="C722" s="13" t="s">
        <v>331</v>
      </c>
      <c r="D722" s="29" t="s">
        <v>141</v>
      </c>
      <c r="E722" s="19">
        <v>11000</v>
      </c>
      <c r="F722" s="20"/>
      <c r="G722" s="29"/>
      <c r="H722" s="33"/>
      <c r="I722" s="29"/>
      <c r="J722" s="29" t="s">
        <v>67</v>
      </c>
      <c r="AA722" t="str">
        <f t="shared" si="11"/>
        <v>Rice</v>
      </c>
    </row>
    <row r="723" ht="30" customHeight="1" spans="1:27">
      <c r="A723" s="29" t="s">
        <v>25</v>
      </c>
      <c r="B723" s="29" t="s">
        <v>236</v>
      </c>
      <c r="C723" s="13" t="s">
        <v>338</v>
      </c>
      <c r="D723" s="29" t="s">
        <v>77</v>
      </c>
      <c r="E723" s="19"/>
      <c r="F723" s="20">
        <v>1800</v>
      </c>
      <c r="G723" s="29"/>
      <c r="H723" s="29"/>
      <c r="I723" s="33"/>
      <c r="J723" s="29" t="s">
        <v>75</v>
      </c>
      <c r="AA723" t="str">
        <f t="shared" si="11"/>
        <v>Corn</v>
      </c>
    </row>
    <row r="724" ht="30" customHeight="1" spans="1:27">
      <c r="A724" s="29" t="s">
        <v>25</v>
      </c>
      <c r="B724" s="29" t="s">
        <v>236</v>
      </c>
      <c r="C724" s="13" t="s">
        <v>338</v>
      </c>
      <c r="D724" s="29" t="s">
        <v>78</v>
      </c>
      <c r="E724" s="19"/>
      <c r="F724" s="20">
        <v>360</v>
      </c>
      <c r="G724" s="29"/>
      <c r="H724" s="29"/>
      <c r="I724" s="33"/>
      <c r="J724" s="29" t="s">
        <v>75</v>
      </c>
      <c r="AA724" t="str">
        <f t="shared" si="11"/>
        <v>Corn</v>
      </c>
    </row>
    <row r="725" ht="30" customHeight="1" spans="1:27">
      <c r="A725" s="29" t="s">
        <v>25</v>
      </c>
      <c r="B725" s="29" t="s">
        <v>236</v>
      </c>
      <c r="C725" s="13" t="s">
        <v>338</v>
      </c>
      <c r="D725" s="30" t="s">
        <v>339</v>
      </c>
      <c r="E725" s="19">
        <v>12000</v>
      </c>
      <c r="F725" s="20"/>
      <c r="G725" s="29"/>
      <c r="H725" s="29"/>
      <c r="I725" s="29"/>
      <c r="J725" s="29" t="s">
        <v>29</v>
      </c>
      <c r="AA725" t="str">
        <f t="shared" si="11"/>
        <v>Farm-to-Market Road</v>
      </c>
    </row>
    <row r="726" ht="30" customHeight="1" spans="1:27">
      <c r="A726" s="29" t="s">
        <v>25</v>
      </c>
      <c r="B726" s="29" t="s">
        <v>236</v>
      </c>
      <c r="C726" s="13" t="s">
        <v>338</v>
      </c>
      <c r="D726" s="30" t="s">
        <v>340</v>
      </c>
      <c r="E726" s="19"/>
      <c r="F726" s="20">
        <v>15000</v>
      </c>
      <c r="G726" s="29"/>
      <c r="H726" s="29"/>
      <c r="I726" s="29"/>
      <c r="J726" s="29" t="s">
        <v>29</v>
      </c>
      <c r="AA726" t="str">
        <f t="shared" si="11"/>
        <v>Farm-to-Market Road</v>
      </c>
    </row>
    <row r="727" ht="30" customHeight="1" spans="1:27">
      <c r="A727" s="29" t="s">
        <v>25</v>
      </c>
      <c r="B727" s="29" t="s">
        <v>236</v>
      </c>
      <c r="C727" s="13" t="s">
        <v>338</v>
      </c>
      <c r="D727" s="29" t="s">
        <v>63</v>
      </c>
      <c r="E727" s="23">
        <v>4372.6914</v>
      </c>
      <c r="F727" s="24">
        <v>401.4516</v>
      </c>
      <c r="G727" s="29"/>
      <c r="H727" s="33"/>
      <c r="I727" s="33"/>
      <c r="J727" s="29" t="s">
        <v>64</v>
      </c>
      <c r="AA727" t="str">
        <f t="shared" si="11"/>
        <v>Rice</v>
      </c>
    </row>
    <row r="728" ht="30" customHeight="1" spans="1:27">
      <c r="A728" s="29" t="s">
        <v>25</v>
      </c>
      <c r="B728" s="29" t="s">
        <v>236</v>
      </c>
      <c r="C728" s="13" t="s">
        <v>338</v>
      </c>
      <c r="D728" s="29" t="s">
        <v>116</v>
      </c>
      <c r="E728" s="19">
        <v>3200</v>
      </c>
      <c r="F728" s="20"/>
      <c r="G728" s="29"/>
      <c r="H728" s="33"/>
      <c r="I728" s="29"/>
      <c r="J728" s="29" t="s">
        <v>96</v>
      </c>
      <c r="AA728" t="str">
        <f t="shared" si="11"/>
        <v>Corn</v>
      </c>
    </row>
    <row r="729" ht="30" customHeight="1" spans="1:27">
      <c r="A729" s="29" t="s">
        <v>25</v>
      </c>
      <c r="B729" s="29" t="s">
        <v>236</v>
      </c>
      <c r="C729" s="13" t="s">
        <v>338</v>
      </c>
      <c r="D729" s="29" t="s">
        <v>117</v>
      </c>
      <c r="E729" s="19">
        <v>3100</v>
      </c>
      <c r="F729" s="20"/>
      <c r="G729" s="29"/>
      <c r="H729" s="33"/>
      <c r="I729" s="29"/>
      <c r="J729" s="29" t="s">
        <v>75</v>
      </c>
      <c r="AA729" t="str">
        <f t="shared" si="11"/>
        <v>Corn</v>
      </c>
    </row>
    <row r="730" ht="30" customHeight="1" spans="1:27">
      <c r="A730" s="29" t="s">
        <v>25</v>
      </c>
      <c r="B730" s="29" t="s">
        <v>236</v>
      </c>
      <c r="C730" s="13" t="s">
        <v>338</v>
      </c>
      <c r="D730" s="29" t="s">
        <v>278</v>
      </c>
      <c r="E730" s="19">
        <v>2400</v>
      </c>
      <c r="F730" s="20"/>
      <c r="G730" s="29"/>
      <c r="H730" s="33"/>
      <c r="I730" s="29"/>
      <c r="J730" s="29" t="s">
        <v>96</v>
      </c>
      <c r="AA730" t="str">
        <f t="shared" si="11"/>
        <v>Corn</v>
      </c>
    </row>
    <row r="731" ht="30" spans="1:27">
      <c r="A731" s="29" t="s">
        <v>25</v>
      </c>
      <c r="B731" s="29" t="s">
        <v>236</v>
      </c>
      <c r="C731" s="13" t="s">
        <v>338</v>
      </c>
      <c r="D731" s="29" t="s">
        <v>341</v>
      </c>
      <c r="E731" s="19">
        <v>2300</v>
      </c>
      <c r="F731" s="20"/>
      <c r="G731" s="29"/>
      <c r="H731" s="33"/>
      <c r="I731" s="29"/>
      <c r="J731" s="29" t="s">
        <v>75</v>
      </c>
      <c r="AA731" t="str">
        <f t="shared" si="11"/>
        <v>Corn</v>
      </c>
    </row>
    <row r="732" spans="1:27">
      <c r="A732" s="29" t="s">
        <v>25</v>
      </c>
      <c r="B732" s="29" t="s">
        <v>236</v>
      </c>
      <c r="C732" s="13" t="s">
        <v>338</v>
      </c>
      <c r="D732" s="29" t="s">
        <v>90</v>
      </c>
      <c r="E732" s="19"/>
      <c r="F732" s="20"/>
      <c r="G732" s="29"/>
      <c r="H732" s="33"/>
      <c r="I732" s="33"/>
      <c r="J732" s="29" t="s">
        <v>75</v>
      </c>
      <c r="AA732" t="str">
        <f t="shared" si="11"/>
        <v>Corn</v>
      </c>
    </row>
    <row r="733" ht="30" spans="1:27">
      <c r="A733" s="29" t="s">
        <v>25</v>
      </c>
      <c r="B733" s="29" t="s">
        <v>236</v>
      </c>
      <c r="C733" s="13" t="s">
        <v>338</v>
      </c>
      <c r="D733" s="29" t="s">
        <v>70</v>
      </c>
      <c r="E733" s="23">
        <v>19677.1114</v>
      </c>
      <c r="F733" s="20"/>
      <c r="G733" s="29"/>
      <c r="H733" s="33"/>
      <c r="I733" s="29"/>
      <c r="J733" s="29" t="s">
        <v>64</v>
      </c>
      <c r="AA733" t="str">
        <f t="shared" si="11"/>
        <v>Rice</v>
      </c>
    </row>
    <row r="734" spans="1:27">
      <c r="A734" s="29" t="s">
        <v>25</v>
      </c>
      <c r="B734" s="29" t="s">
        <v>236</v>
      </c>
      <c r="C734" s="13" t="s">
        <v>338</v>
      </c>
      <c r="D734" s="29" t="s">
        <v>173</v>
      </c>
      <c r="E734" s="19"/>
      <c r="F734" s="20"/>
      <c r="G734" s="29"/>
      <c r="H734" s="29"/>
      <c r="I734" s="33"/>
      <c r="J734" s="29" t="s">
        <v>75</v>
      </c>
      <c r="AA734" t="str">
        <f t="shared" si="11"/>
        <v>Corn</v>
      </c>
    </row>
    <row r="735" ht="30" customHeight="1" spans="1:27">
      <c r="A735" s="29" t="s">
        <v>25</v>
      </c>
      <c r="B735" s="29" t="s">
        <v>236</v>
      </c>
      <c r="C735" s="13" t="s">
        <v>338</v>
      </c>
      <c r="D735" s="29" t="s">
        <v>91</v>
      </c>
      <c r="E735" s="19"/>
      <c r="F735" s="20">
        <v>6600</v>
      </c>
      <c r="G735" s="29"/>
      <c r="H735" s="29"/>
      <c r="I735" s="33"/>
      <c r="J735" s="29" t="s">
        <v>75</v>
      </c>
      <c r="AA735" t="str">
        <f t="shared" si="11"/>
        <v>Corn</v>
      </c>
    </row>
    <row r="736" ht="30" customHeight="1" spans="1:27">
      <c r="A736" s="29" t="s">
        <v>25</v>
      </c>
      <c r="B736" s="29" t="s">
        <v>236</v>
      </c>
      <c r="C736" s="13" t="s">
        <v>338</v>
      </c>
      <c r="D736" s="29" t="s">
        <v>71</v>
      </c>
      <c r="E736" s="23">
        <v>1266.2788</v>
      </c>
      <c r="F736" s="20"/>
      <c r="G736" s="29"/>
      <c r="H736" s="33"/>
      <c r="I736" s="29"/>
      <c r="J736" s="29" t="s">
        <v>64</v>
      </c>
      <c r="AA736" t="str">
        <f t="shared" si="11"/>
        <v>Rice</v>
      </c>
    </row>
    <row r="737" ht="45" customHeight="1" spans="1:27">
      <c r="A737" s="29" t="s">
        <v>25</v>
      </c>
      <c r="B737" s="29" t="s">
        <v>236</v>
      </c>
      <c r="C737" s="13" t="s">
        <v>338</v>
      </c>
      <c r="D737" s="29" t="s">
        <v>121</v>
      </c>
      <c r="E737" s="19">
        <v>2500</v>
      </c>
      <c r="F737" s="20"/>
      <c r="G737" s="29"/>
      <c r="H737" s="33"/>
      <c r="I737" s="29"/>
      <c r="J737" s="29" t="s">
        <v>75</v>
      </c>
      <c r="AA737" t="str">
        <f t="shared" si="11"/>
        <v>Corn</v>
      </c>
    </row>
    <row r="738" ht="30" customHeight="1" spans="1:27">
      <c r="A738" s="29" t="s">
        <v>25</v>
      </c>
      <c r="B738" s="29" t="s">
        <v>236</v>
      </c>
      <c r="C738" s="13" t="s">
        <v>338</v>
      </c>
      <c r="D738" s="29" t="s">
        <v>122</v>
      </c>
      <c r="E738" s="19">
        <v>1250</v>
      </c>
      <c r="F738" s="20"/>
      <c r="G738" s="29"/>
      <c r="H738" s="33"/>
      <c r="I738" s="29"/>
      <c r="J738" s="29" t="s">
        <v>96</v>
      </c>
      <c r="AA738" t="str">
        <f t="shared" si="11"/>
        <v>Corn</v>
      </c>
    </row>
    <row r="739" ht="30" customHeight="1" spans="1:27">
      <c r="A739" s="29" t="s">
        <v>25</v>
      </c>
      <c r="B739" s="29" t="s">
        <v>236</v>
      </c>
      <c r="C739" s="13" t="s">
        <v>338</v>
      </c>
      <c r="D739" s="29" t="s">
        <v>74</v>
      </c>
      <c r="E739" s="19"/>
      <c r="F739" s="20"/>
      <c r="G739" s="29"/>
      <c r="H739" s="33"/>
      <c r="I739" s="29"/>
      <c r="J739" s="29" t="s">
        <v>75</v>
      </c>
      <c r="AA739" t="str">
        <f t="shared" si="11"/>
        <v>Corn</v>
      </c>
    </row>
    <row r="740" ht="30" customHeight="1" spans="1:27">
      <c r="A740" s="29" t="s">
        <v>25</v>
      </c>
      <c r="B740" s="29" t="s">
        <v>236</v>
      </c>
      <c r="C740" s="13" t="s">
        <v>342</v>
      </c>
      <c r="D740" s="30" t="s">
        <v>343</v>
      </c>
      <c r="E740" s="19">
        <v>35000</v>
      </c>
      <c r="F740" s="20"/>
      <c r="G740" s="29"/>
      <c r="H740" s="29"/>
      <c r="I740" s="29"/>
      <c r="J740" s="29" t="s">
        <v>29</v>
      </c>
      <c r="AA740" t="str">
        <f t="shared" si="11"/>
        <v>Farm-to-Market Road</v>
      </c>
    </row>
    <row r="741" ht="30" spans="1:27">
      <c r="A741" s="29" t="s">
        <v>25</v>
      </c>
      <c r="B741" s="29" t="s">
        <v>236</v>
      </c>
      <c r="C741" s="13" t="s">
        <v>342</v>
      </c>
      <c r="D741" s="29" t="s">
        <v>201</v>
      </c>
      <c r="E741" s="19">
        <v>3750</v>
      </c>
      <c r="F741" s="20"/>
      <c r="G741" s="29"/>
      <c r="H741" s="33"/>
      <c r="I741" s="29"/>
      <c r="J741" s="29" t="s">
        <v>134</v>
      </c>
      <c r="AA741" t="str">
        <f t="shared" si="11"/>
        <v>High Value Export Crops (Dragon Fruit/Ube/Okra/Banana)</v>
      </c>
    </row>
    <row r="742" ht="30" customHeight="1" spans="1:27">
      <c r="A742" s="29" t="s">
        <v>25</v>
      </c>
      <c r="B742" s="29" t="s">
        <v>236</v>
      </c>
      <c r="C742" s="13" t="s">
        <v>342</v>
      </c>
      <c r="D742" s="29" t="s">
        <v>344</v>
      </c>
      <c r="E742" s="19">
        <v>15000</v>
      </c>
      <c r="F742" s="20"/>
      <c r="G742" s="29"/>
      <c r="H742" s="33"/>
      <c r="I742" s="29"/>
      <c r="J742" s="29" t="s">
        <v>134</v>
      </c>
      <c r="AA742" t="str">
        <f t="shared" si="11"/>
        <v>High Value Export Crops (Dragon Fruit/Ube/Okra/Banana)</v>
      </c>
    </row>
    <row r="743" ht="30" spans="1:27">
      <c r="A743" s="29" t="s">
        <v>25</v>
      </c>
      <c r="B743" s="29" t="s">
        <v>236</v>
      </c>
      <c r="C743" s="13" t="s">
        <v>342</v>
      </c>
      <c r="D743" s="29" t="s">
        <v>240</v>
      </c>
      <c r="E743" s="23">
        <v>16784.518</v>
      </c>
      <c r="F743" s="24">
        <v>1540.9667</v>
      </c>
      <c r="G743" s="29"/>
      <c r="H743" s="33"/>
      <c r="I743" s="33"/>
      <c r="J743" s="29" t="s">
        <v>64</v>
      </c>
      <c r="AA743" t="str">
        <f t="shared" si="11"/>
        <v>Rice</v>
      </c>
    </row>
    <row r="744" ht="30" spans="1:27">
      <c r="A744" s="29" t="s">
        <v>25</v>
      </c>
      <c r="B744" s="29" t="s">
        <v>236</v>
      </c>
      <c r="C744" s="13" t="s">
        <v>342</v>
      </c>
      <c r="D744" s="29" t="s">
        <v>285</v>
      </c>
      <c r="E744" s="19">
        <v>2200</v>
      </c>
      <c r="F744" s="20"/>
      <c r="G744" s="29"/>
      <c r="H744" s="33"/>
      <c r="I744" s="29"/>
      <c r="J744" s="29" t="s">
        <v>196</v>
      </c>
      <c r="AA744" t="str">
        <f t="shared" si="11"/>
        <v>Vegetables (NUPAP/Urban Agri)</v>
      </c>
    </row>
    <row r="745" ht="30" spans="1:27">
      <c r="A745" s="29" t="s">
        <v>25</v>
      </c>
      <c r="B745" s="29" t="s">
        <v>236</v>
      </c>
      <c r="C745" s="13" t="s">
        <v>342</v>
      </c>
      <c r="D745" s="29" t="s">
        <v>286</v>
      </c>
      <c r="E745" s="19">
        <v>2200</v>
      </c>
      <c r="F745" s="20"/>
      <c r="G745" s="29"/>
      <c r="H745" s="33"/>
      <c r="I745" s="29"/>
      <c r="J745" s="29" t="s">
        <v>196</v>
      </c>
      <c r="AA745" t="str">
        <f t="shared" si="11"/>
        <v>Vegetables (NUPAP/Urban Agri)</v>
      </c>
    </row>
    <row r="746" spans="1:27">
      <c r="A746" s="29" t="s">
        <v>25</v>
      </c>
      <c r="B746" s="29" t="s">
        <v>236</v>
      </c>
      <c r="C746" s="13" t="s">
        <v>342</v>
      </c>
      <c r="D746" s="29" t="s">
        <v>90</v>
      </c>
      <c r="E746" s="19"/>
      <c r="F746" s="20"/>
      <c r="G746" s="29"/>
      <c r="H746" s="33"/>
      <c r="I746" s="33"/>
      <c r="J746" s="29" t="s">
        <v>75</v>
      </c>
      <c r="AA746" t="str">
        <f t="shared" si="11"/>
        <v>Corn</v>
      </c>
    </row>
    <row r="747" ht="30" spans="1:27">
      <c r="A747" s="29" t="s">
        <v>25</v>
      </c>
      <c r="B747" s="29" t="s">
        <v>236</v>
      </c>
      <c r="C747" s="13" t="s">
        <v>342</v>
      </c>
      <c r="D747" s="29" t="s">
        <v>70</v>
      </c>
      <c r="E747" s="23">
        <v>75530.3309</v>
      </c>
      <c r="F747" s="20"/>
      <c r="G747" s="29"/>
      <c r="H747" s="33"/>
      <c r="I747" s="29"/>
      <c r="J747" s="29" t="s">
        <v>64</v>
      </c>
      <c r="AA747" t="str">
        <f t="shared" si="11"/>
        <v>Rice</v>
      </c>
    </row>
    <row r="748" ht="30" customHeight="1" spans="1:27">
      <c r="A748" s="29" t="s">
        <v>25</v>
      </c>
      <c r="B748" s="29" t="s">
        <v>236</v>
      </c>
      <c r="C748" s="13" t="s">
        <v>342</v>
      </c>
      <c r="D748" s="29" t="s">
        <v>71</v>
      </c>
      <c r="E748" s="23">
        <v>4860.5943</v>
      </c>
      <c r="F748" s="20"/>
      <c r="G748" s="29"/>
      <c r="H748" s="33"/>
      <c r="I748" s="29"/>
      <c r="J748" s="29" t="s">
        <v>64</v>
      </c>
      <c r="AA748" t="str">
        <f t="shared" si="11"/>
        <v>Rice</v>
      </c>
    </row>
    <row r="749" ht="30" customHeight="1" spans="1:27">
      <c r="A749" s="29" t="s">
        <v>25</v>
      </c>
      <c r="B749" s="29" t="s">
        <v>236</v>
      </c>
      <c r="C749" s="13" t="s">
        <v>342</v>
      </c>
      <c r="D749" s="29" t="s">
        <v>72</v>
      </c>
      <c r="E749" s="19">
        <v>1330.82</v>
      </c>
      <c r="F749" s="20"/>
      <c r="G749" s="29"/>
      <c r="H749" s="33"/>
      <c r="I749" s="29"/>
      <c r="J749" s="29" t="s">
        <v>35</v>
      </c>
      <c r="AA749" t="str">
        <f t="shared" si="11"/>
        <v>High Value Crops (Vegetables/Fruits/Rootcrops)</v>
      </c>
    </row>
    <row r="750" ht="30" customHeight="1" spans="1:27">
      <c r="A750" s="29" t="s">
        <v>25</v>
      </c>
      <c r="B750" s="29" t="s">
        <v>236</v>
      </c>
      <c r="C750" s="13" t="s">
        <v>342</v>
      </c>
      <c r="D750" s="29" t="s">
        <v>93</v>
      </c>
      <c r="E750" s="19">
        <v>1100</v>
      </c>
      <c r="F750" s="20"/>
      <c r="G750" s="29"/>
      <c r="H750" s="33"/>
      <c r="I750" s="29"/>
      <c r="J750" s="29" t="s">
        <v>67</v>
      </c>
      <c r="AA750" t="str">
        <f t="shared" si="11"/>
        <v>Rice</v>
      </c>
    </row>
    <row r="751" ht="45" customHeight="1" spans="1:27">
      <c r="A751" s="29" t="s">
        <v>25</v>
      </c>
      <c r="B751" s="29" t="s">
        <v>236</v>
      </c>
      <c r="C751" s="13" t="s">
        <v>342</v>
      </c>
      <c r="D751" s="29" t="s">
        <v>94</v>
      </c>
      <c r="E751" s="19">
        <v>1000</v>
      </c>
      <c r="F751" s="20"/>
      <c r="G751" s="29"/>
      <c r="H751" s="33"/>
      <c r="I751" s="29"/>
      <c r="J751" s="29" t="s">
        <v>75</v>
      </c>
      <c r="AA751" t="str">
        <f t="shared" si="11"/>
        <v>Corn</v>
      </c>
    </row>
    <row r="752" spans="1:27">
      <c r="A752" s="29" t="s">
        <v>25</v>
      </c>
      <c r="B752" s="29" t="s">
        <v>236</v>
      </c>
      <c r="C752" s="13" t="s">
        <v>342</v>
      </c>
      <c r="D752" s="29" t="s">
        <v>95</v>
      </c>
      <c r="E752" s="19">
        <v>1000</v>
      </c>
      <c r="F752" s="20"/>
      <c r="G752" s="29"/>
      <c r="H752" s="33"/>
      <c r="I752" s="29"/>
      <c r="J752" s="29" t="s">
        <v>96</v>
      </c>
      <c r="AA752" t="str">
        <f t="shared" si="11"/>
        <v>Corn</v>
      </c>
    </row>
    <row r="753" ht="45" customHeight="1" spans="1:27">
      <c r="A753" s="29" t="s">
        <v>25</v>
      </c>
      <c r="B753" s="29" t="s">
        <v>236</v>
      </c>
      <c r="C753" s="13" t="s">
        <v>342</v>
      </c>
      <c r="D753" s="29" t="s">
        <v>197</v>
      </c>
      <c r="E753" s="19">
        <v>2000</v>
      </c>
      <c r="F753" s="20"/>
      <c r="G753" s="29"/>
      <c r="H753" s="33"/>
      <c r="I753" s="29"/>
      <c r="J753" s="29" t="s">
        <v>35</v>
      </c>
      <c r="AA753" t="str">
        <f t="shared" si="11"/>
        <v>High Value Crops (Vegetables/Fruits/Rootcrops)</v>
      </c>
    </row>
    <row r="754" ht="45" customHeight="1" spans="1:27">
      <c r="A754" s="29" t="s">
        <v>25</v>
      </c>
      <c r="B754" s="29" t="s">
        <v>236</v>
      </c>
      <c r="C754" s="13" t="s">
        <v>342</v>
      </c>
      <c r="D754" s="29" t="s">
        <v>345</v>
      </c>
      <c r="E754" s="19">
        <v>10000</v>
      </c>
      <c r="F754" s="20"/>
      <c r="G754" s="29"/>
      <c r="H754" s="33"/>
      <c r="I754" s="29"/>
      <c r="J754" s="29" t="s">
        <v>35</v>
      </c>
      <c r="AA754" t="str">
        <f t="shared" si="11"/>
        <v>High Value Crops (Vegetables/Fruits/Rootcrops)</v>
      </c>
    </row>
    <row r="755" ht="30" customHeight="1" spans="1:27">
      <c r="A755" s="29" t="s">
        <v>25</v>
      </c>
      <c r="B755" s="29" t="s">
        <v>236</v>
      </c>
      <c r="C755" s="13" t="s">
        <v>342</v>
      </c>
      <c r="D755" s="29" t="s">
        <v>121</v>
      </c>
      <c r="E755" s="19">
        <v>2500</v>
      </c>
      <c r="F755" s="20"/>
      <c r="G755" s="29"/>
      <c r="H755" s="33"/>
      <c r="I755" s="29"/>
      <c r="J755" s="29" t="s">
        <v>75</v>
      </c>
      <c r="AA755" t="str">
        <f t="shared" si="11"/>
        <v>Corn</v>
      </c>
    </row>
    <row r="756" spans="1:27">
      <c r="A756" s="29" t="s">
        <v>25</v>
      </c>
      <c r="B756" s="29" t="s">
        <v>236</v>
      </c>
      <c r="C756" s="13" t="s">
        <v>342</v>
      </c>
      <c r="D756" s="29" t="s">
        <v>98</v>
      </c>
      <c r="E756" s="19">
        <v>333.8757</v>
      </c>
      <c r="F756" s="20"/>
      <c r="G756" s="29"/>
      <c r="H756" s="33"/>
      <c r="I756" s="29"/>
      <c r="J756" s="29" t="s">
        <v>35</v>
      </c>
      <c r="AA756" t="str">
        <f t="shared" si="11"/>
        <v>High Value Crops (Vegetables/Fruits/Rootcrops)</v>
      </c>
    </row>
    <row r="757" spans="1:27">
      <c r="A757" s="29" t="s">
        <v>25</v>
      </c>
      <c r="B757" s="29" t="s">
        <v>236</v>
      </c>
      <c r="C757" s="13" t="s">
        <v>342</v>
      </c>
      <c r="D757" s="29" t="s">
        <v>346</v>
      </c>
      <c r="E757" s="19">
        <v>500</v>
      </c>
      <c r="F757" s="20"/>
      <c r="G757" s="29"/>
      <c r="H757" s="33"/>
      <c r="I757" s="29"/>
      <c r="J757" s="29" t="s">
        <v>35</v>
      </c>
      <c r="AA757" t="str">
        <f t="shared" si="11"/>
        <v>High Value Crops (Vegetables/Fruits/Rootcrops)</v>
      </c>
    </row>
    <row r="758" ht="30" spans="1:27">
      <c r="A758" s="29" t="s">
        <v>25</v>
      </c>
      <c r="B758" s="29" t="s">
        <v>236</v>
      </c>
      <c r="C758" s="13" t="s">
        <v>342</v>
      </c>
      <c r="D758" s="29" t="s">
        <v>122</v>
      </c>
      <c r="E758" s="19">
        <v>1250</v>
      </c>
      <c r="F758" s="20"/>
      <c r="G758" s="29"/>
      <c r="H758" s="33"/>
      <c r="I758" s="29"/>
      <c r="J758" s="29" t="s">
        <v>96</v>
      </c>
      <c r="AA758" t="str">
        <f t="shared" si="11"/>
        <v>Corn</v>
      </c>
    </row>
    <row r="759" ht="30" spans="1:27">
      <c r="A759" s="29" t="s">
        <v>25</v>
      </c>
      <c r="B759" s="29" t="s">
        <v>236</v>
      </c>
      <c r="C759" s="13" t="s">
        <v>342</v>
      </c>
      <c r="D759" s="29" t="s">
        <v>347</v>
      </c>
      <c r="E759" s="19">
        <v>16000</v>
      </c>
      <c r="F759" s="20"/>
      <c r="G759" s="29"/>
      <c r="H759" s="33"/>
      <c r="I759" s="29"/>
      <c r="J759" s="29" t="s">
        <v>35</v>
      </c>
      <c r="AA759" t="str">
        <f t="shared" si="11"/>
        <v>High Value Crops (Vegetables/Fruits/Rootcrops)</v>
      </c>
    </row>
    <row r="760" spans="1:27">
      <c r="A760" s="29" t="s">
        <v>25</v>
      </c>
      <c r="B760" s="29" t="s">
        <v>236</v>
      </c>
      <c r="C760" s="13" t="s">
        <v>342</v>
      </c>
      <c r="D760" s="29" t="s">
        <v>36</v>
      </c>
      <c r="E760" s="19">
        <v>3225</v>
      </c>
      <c r="F760" s="20"/>
      <c r="G760" s="29"/>
      <c r="H760" s="33"/>
      <c r="I760" s="29"/>
      <c r="J760" s="29" t="s">
        <v>35</v>
      </c>
      <c r="AA760" t="str">
        <f t="shared" si="11"/>
        <v>High Value Crops (Vegetables/Fruits/Rootcrops)</v>
      </c>
    </row>
    <row r="761" spans="1:27">
      <c r="A761" s="29" t="s">
        <v>25</v>
      </c>
      <c r="B761" s="29" t="s">
        <v>236</v>
      </c>
      <c r="C761" s="13" t="s">
        <v>342</v>
      </c>
      <c r="D761" s="29" t="s">
        <v>348</v>
      </c>
      <c r="E761" s="19">
        <v>150</v>
      </c>
      <c r="F761" s="20"/>
      <c r="G761" s="29"/>
      <c r="H761" s="33"/>
      <c r="I761" s="29"/>
      <c r="J761" s="29" t="s">
        <v>35</v>
      </c>
      <c r="AA761" t="str">
        <f t="shared" si="11"/>
        <v>High Value Crops (Vegetables/Fruits/Rootcrops)</v>
      </c>
    </row>
    <row r="762" spans="1:27">
      <c r="A762" s="29" t="s">
        <v>25</v>
      </c>
      <c r="B762" s="29" t="s">
        <v>236</v>
      </c>
      <c r="C762" s="13" t="s">
        <v>342</v>
      </c>
      <c r="D762" s="29" t="s">
        <v>205</v>
      </c>
      <c r="E762" s="19">
        <v>1200</v>
      </c>
      <c r="F762" s="20"/>
      <c r="G762" s="29"/>
      <c r="H762" s="33"/>
      <c r="I762" s="29"/>
      <c r="J762" s="29" t="s">
        <v>35</v>
      </c>
      <c r="AA762" t="str">
        <f t="shared" si="11"/>
        <v>High Value Crops (Vegetables/Fruits/Rootcrops)</v>
      </c>
    </row>
    <row r="763" ht="30" customHeight="1" spans="1:27">
      <c r="A763" s="29" t="s">
        <v>25</v>
      </c>
      <c r="B763" s="29" t="s">
        <v>236</v>
      </c>
      <c r="C763" s="13" t="s">
        <v>342</v>
      </c>
      <c r="D763" s="29" t="s">
        <v>349</v>
      </c>
      <c r="E763" s="19">
        <v>6000</v>
      </c>
      <c r="F763" s="20"/>
      <c r="G763" s="29"/>
      <c r="H763" s="33"/>
      <c r="I763" s="29"/>
      <c r="J763" s="29" t="s">
        <v>35</v>
      </c>
      <c r="AA763" t="str">
        <f t="shared" si="11"/>
        <v>High Value Crops (Vegetables/Fruits/Rootcrops)</v>
      </c>
    </row>
    <row r="764" ht="30" customHeight="1" spans="1:27">
      <c r="A764" s="29" t="s">
        <v>25</v>
      </c>
      <c r="B764" s="29" t="s">
        <v>236</v>
      </c>
      <c r="C764" s="13" t="s">
        <v>342</v>
      </c>
      <c r="D764" s="29" t="s">
        <v>74</v>
      </c>
      <c r="E764" s="19"/>
      <c r="F764" s="20"/>
      <c r="G764" s="29"/>
      <c r="H764" s="33"/>
      <c r="I764" s="29"/>
      <c r="J764" s="29" t="s">
        <v>75</v>
      </c>
      <c r="AA764" t="str">
        <f t="shared" si="11"/>
        <v>Corn</v>
      </c>
    </row>
    <row r="765" ht="30" customHeight="1" spans="1:27">
      <c r="A765" s="29" t="s">
        <v>25</v>
      </c>
      <c r="B765" s="29" t="s">
        <v>236</v>
      </c>
      <c r="C765" s="13" t="s">
        <v>342</v>
      </c>
      <c r="D765" s="29" t="s">
        <v>320</v>
      </c>
      <c r="E765" s="19">
        <v>400</v>
      </c>
      <c r="F765" s="20"/>
      <c r="G765" s="29"/>
      <c r="H765" s="33"/>
      <c r="I765" s="29"/>
      <c r="J765" s="29" t="s">
        <v>35</v>
      </c>
      <c r="AA765" t="str">
        <f t="shared" si="11"/>
        <v>High Value Crops (Vegetables/Fruits/Rootcrops)</v>
      </c>
    </row>
    <row r="766" ht="30" customHeight="1" spans="1:27">
      <c r="A766" s="29" t="s">
        <v>25</v>
      </c>
      <c r="B766" s="29" t="s">
        <v>236</v>
      </c>
      <c r="C766" s="13" t="s">
        <v>350</v>
      </c>
      <c r="D766" s="29" t="s">
        <v>112</v>
      </c>
      <c r="E766" s="19">
        <v>2100</v>
      </c>
      <c r="F766" s="20"/>
      <c r="G766" s="29"/>
      <c r="H766" s="33"/>
      <c r="I766" s="29"/>
      <c r="J766" s="29" t="s">
        <v>96</v>
      </c>
      <c r="AA766" t="str">
        <f t="shared" si="11"/>
        <v>Corn</v>
      </c>
    </row>
    <row r="767" ht="30" spans="1:27">
      <c r="A767" s="29" t="s">
        <v>25</v>
      </c>
      <c r="B767" s="29" t="s">
        <v>236</v>
      </c>
      <c r="C767" s="13" t="s">
        <v>350</v>
      </c>
      <c r="D767" s="30" t="s">
        <v>351</v>
      </c>
      <c r="E767" s="19">
        <v>33000</v>
      </c>
      <c r="F767" s="20"/>
      <c r="G767" s="29"/>
      <c r="H767" s="29"/>
      <c r="I767" s="29"/>
      <c r="J767" s="29" t="s">
        <v>29</v>
      </c>
      <c r="AA767" t="str">
        <f t="shared" si="11"/>
        <v>Farm-to-Market Road</v>
      </c>
    </row>
    <row r="768" ht="30" customHeight="1" spans="1:27">
      <c r="A768" s="29" t="s">
        <v>25</v>
      </c>
      <c r="B768" s="29" t="s">
        <v>236</v>
      </c>
      <c r="C768" s="13" t="s">
        <v>350</v>
      </c>
      <c r="D768" s="29" t="s">
        <v>114</v>
      </c>
      <c r="E768" s="19">
        <v>2100</v>
      </c>
      <c r="F768" s="20"/>
      <c r="G768" s="29"/>
      <c r="H768" s="33"/>
      <c r="I768" s="29"/>
      <c r="J768" s="29" t="s">
        <v>75</v>
      </c>
      <c r="AA768" t="str">
        <f t="shared" si="11"/>
        <v>Corn</v>
      </c>
    </row>
    <row r="769" ht="30" customHeight="1" spans="1:27">
      <c r="A769" s="29" t="s">
        <v>25</v>
      </c>
      <c r="B769" s="29" t="s">
        <v>236</v>
      </c>
      <c r="C769" s="13" t="s">
        <v>350</v>
      </c>
      <c r="D769" s="29" t="s">
        <v>248</v>
      </c>
      <c r="E769" s="19">
        <v>900</v>
      </c>
      <c r="F769" s="20"/>
      <c r="G769" s="29"/>
      <c r="H769" s="33"/>
      <c r="I769" s="29"/>
      <c r="J769" s="29" t="s">
        <v>96</v>
      </c>
      <c r="AA769" t="str">
        <f t="shared" si="11"/>
        <v>Corn</v>
      </c>
    </row>
    <row r="770" ht="30" customHeight="1" spans="1:27">
      <c r="A770" s="29" t="s">
        <v>25</v>
      </c>
      <c r="B770" s="29" t="s">
        <v>236</v>
      </c>
      <c r="C770" s="13" t="s">
        <v>350</v>
      </c>
      <c r="D770" s="29" t="s">
        <v>240</v>
      </c>
      <c r="E770" s="23">
        <v>1463.5252</v>
      </c>
      <c r="F770" s="24">
        <v>134.3645</v>
      </c>
      <c r="G770" s="29"/>
      <c r="H770" s="33"/>
      <c r="I770" s="33"/>
      <c r="J770" s="29" t="s">
        <v>64</v>
      </c>
      <c r="AA770" t="str">
        <f t="shared" si="11"/>
        <v>Rice</v>
      </c>
    </row>
    <row r="771" ht="30" customHeight="1" spans="1:27">
      <c r="A771" s="29" t="s">
        <v>25</v>
      </c>
      <c r="B771" s="29" t="s">
        <v>236</v>
      </c>
      <c r="C771" s="13" t="s">
        <v>350</v>
      </c>
      <c r="D771" s="29" t="s">
        <v>116</v>
      </c>
      <c r="E771" s="19">
        <v>3200</v>
      </c>
      <c r="F771" s="20"/>
      <c r="G771" s="29"/>
      <c r="H771" s="33"/>
      <c r="I771" s="29"/>
      <c r="J771" s="29" t="s">
        <v>96</v>
      </c>
      <c r="AA771" t="str">
        <f t="shared" si="11"/>
        <v>Corn</v>
      </c>
    </row>
    <row r="772" ht="30" customHeight="1" spans="1:27">
      <c r="A772" s="29" t="s">
        <v>25</v>
      </c>
      <c r="B772" s="29" t="s">
        <v>236</v>
      </c>
      <c r="C772" s="13" t="s">
        <v>350</v>
      </c>
      <c r="D772" s="29" t="s">
        <v>302</v>
      </c>
      <c r="E772" s="19">
        <v>3100</v>
      </c>
      <c r="F772" s="20"/>
      <c r="G772" s="29"/>
      <c r="H772" s="33"/>
      <c r="I772" s="29"/>
      <c r="J772" s="29" t="s">
        <v>75</v>
      </c>
      <c r="AA772" t="str">
        <f t="shared" si="11"/>
        <v>Corn</v>
      </c>
    </row>
    <row r="773" ht="30" customHeight="1" spans="1:27">
      <c r="A773" s="29" t="s">
        <v>25</v>
      </c>
      <c r="B773" s="29" t="s">
        <v>236</v>
      </c>
      <c r="C773" s="13" t="s">
        <v>350</v>
      </c>
      <c r="D773" s="29" t="s">
        <v>90</v>
      </c>
      <c r="E773" s="19"/>
      <c r="F773" s="20"/>
      <c r="G773" s="29"/>
      <c r="H773" s="33"/>
      <c r="I773" s="33"/>
      <c r="J773" s="29" t="s">
        <v>75</v>
      </c>
      <c r="AA773" t="str">
        <f t="shared" si="11"/>
        <v>Corn</v>
      </c>
    </row>
    <row r="774" ht="30" customHeight="1" spans="1:27">
      <c r="A774" s="29" t="s">
        <v>25</v>
      </c>
      <c r="B774" s="29" t="s">
        <v>236</v>
      </c>
      <c r="C774" s="13" t="s">
        <v>350</v>
      </c>
      <c r="D774" s="29" t="s">
        <v>70</v>
      </c>
      <c r="E774" s="23">
        <v>6585.8635</v>
      </c>
      <c r="F774" s="20"/>
      <c r="G774" s="29"/>
      <c r="H774" s="33"/>
      <c r="I774" s="29"/>
      <c r="J774" s="29" t="s">
        <v>64</v>
      </c>
      <c r="AA774" t="str">
        <f t="shared" si="11"/>
        <v>Rice</v>
      </c>
    </row>
    <row r="775" ht="30" customHeight="1" spans="1:27">
      <c r="A775" s="29" t="s">
        <v>25</v>
      </c>
      <c r="B775" s="29" t="s">
        <v>236</v>
      </c>
      <c r="C775" s="13" t="s">
        <v>350</v>
      </c>
      <c r="D775" s="29" t="s">
        <v>71</v>
      </c>
      <c r="E775" s="23">
        <v>423.8193</v>
      </c>
      <c r="F775" s="20"/>
      <c r="G775" s="29"/>
      <c r="H775" s="33"/>
      <c r="I775" s="29"/>
      <c r="J775" s="29" t="s">
        <v>64</v>
      </c>
      <c r="AA775" t="str">
        <f t="shared" si="11"/>
        <v>Rice</v>
      </c>
    </row>
    <row r="776" ht="30" customHeight="1" spans="1:27">
      <c r="A776" s="29" t="s">
        <v>25</v>
      </c>
      <c r="B776" s="29" t="s">
        <v>236</v>
      </c>
      <c r="C776" s="13" t="s">
        <v>350</v>
      </c>
      <c r="D776" s="29" t="s">
        <v>121</v>
      </c>
      <c r="E776" s="19">
        <v>2500</v>
      </c>
      <c r="F776" s="20"/>
      <c r="G776" s="29"/>
      <c r="H776" s="33"/>
      <c r="I776" s="29"/>
      <c r="J776" s="29" t="s">
        <v>75</v>
      </c>
      <c r="AA776" t="str">
        <f t="shared" si="11"/>
        <v>Corn</v>
      </c>
    </row>
    <row r="777" ht="30" customHeight="1" spans="1:27">
      <c r="A777" s="29" t="s">
        <v>25</v>
      </c>
      <c r="B777" s="29" t="s">
        <v>236</v>
      </c>
      <c r="C777" s="13" t="s">
        <v>350</v>
      </c>
      <c r="D777" s="29" t="s">
        <v>122</v>
      </c>
      <c r="E777" s="19">
        <v>1250</v>
      </c>
      <c r="F777" s="20"/>
      <c r="G777" s="29"/>
      <c r="H777" s="33"/>
      <c r="I777" s="29"/>
      <c r="J777" s="29" t="s">
        <v>96</v>
      </c>
      <c r="AA777" t="str">
        <f t="shared" si="11"/>
        <v>Corn</v>
      </c>
    </row>
    <row r="778" ht="30" customHeight="1" spans="1:27">
      <c r="A778" s="29" t="s">
        <v>25</v>
      </c>
      <c r="B778" s="29" t="s">
        <v>236</v>
      </c>
      <c r="C778" s="13" t="s">
        <v>350</v>
      </c>
      <c r="D778" s="29" t="s">
        <v>250</v>
      </c>
      <c r="E778" s="19">
        <v>900</v>
      </c>
      <c r="F778" s="20"/>
      <c r="G778" s="29"/>
      <c r="H778" s="33"/>
      <c r="I778" s="29"/>
      <c r="J778" s="29" t="s">
        <v>75</v>
      </c>
      <c r="AA778" t="str">
        <f t="shared" ref="AA778:AA841" si="12">_xlfn.IFS(J778="DA-FMRDP","Farm-to-Market Road",J778="DA-RFO2 RICE","Rice",J778="DA-RFO2 Rice Program","Rice",J778="DA-RFO2 CORN","Corn",J778="DA-RFO2 Corn Program","Corn",J778="DA-RFO2 HVCDP","High Value Crops (Vegetables/Fruits/Rootcrops)",J778="DA-RFO2 HVCDP Export","High Value Export Crops (Dragon Fruit/Ube/Okra/Banana)",J778="DA-RFO2 HVCDP Coffee","Coffee (HVCDP)",J778="DA-RFO2 LIVESTOCK","Livestock (Cattle/Carabao/Swine/Poultry)",J778="DA-RFO2 SAAD","Various Commodities (SAAD)",J778="DA-RFO2 4K","Various Commodities (4Ks)",J778="DA-RFO2 4KS","Various Commodities (4Ks)",J778="DA-RFO2 HALAL","Halal Food Products",J778="DA-RFO2 OAP","Organic Agriculture",J778="DA-RFO2 NUPAP","Vegetables (NUPAP/Urban Agri)",TRUE,IF(ISNUMBER(SEARCH("FMR",D778)),"Farm-to-Market Road",IF(ISNUMBER(SEARCH("RICE",D778)),"Rice",IF(ISNUMBER(SEARCH("CORN",D778)),"Corn",IF(ISNUMBER(SEARCH("HVCDP COFFEE",D778)),"Coffee (HVCDP)",IF(ISNUMBER(SEARCH("HVCDP EXPORT",D778)),"High Value Export Crops (Dragon Fruit/Ube/Okra/Banana)",IF(ISNUMBER(SEARCH("HVCDP",D778)),"High Value Crops (Vegetables/Fruits/Rootcrops)",IF(ISNUMBER(SEARCH("LIVESTOCK",D778)),"Livestock (Cattle/Carabao/Swine/Poultry)",IF(ISNUMBER(SEARCH("SAAD",D778)),"Various Commodities (SAAD)",IF(ISNUMBER(SEARCH("4KS",D778)),"Various Commodities (4Ks)",IF(ISNUMBER(SEARCH("4K",D778)),"Various Commodities (4Ks)",IF(ISNUMBER(SEARCH("HALAL",D778)),"Halal Food Products",IF(ISNUMBER(SEARCH("OAP",D778)),"Organic Agriculture",IF(ISNUMBER(SEARCH("NUPAP",D778)),"Vegetables (NUPAP/Urban Agri)",""))))))))))))))</f>
        <v>Corn</v>
      </c>
    </row>
    <row r="779" ht="30" customHeight="1" spans="1:27">
      <c r="A779" s="29" t="s">
        <v>25</v>
      </c>
      <c r="B779" s="29" t="s">
        <v>236</v>
      </c>
      <c r="C779" s="13" t="s">
        <v>350</v>
      </c>
      <c r="D779" s="29" t="s">
        <v>103</v>
      </c>
      <c r="E779" s="19">
        <v>440</v>
      </c>
      <c r="F779" s="20"/>
      <c r="G779" s="29"/>
      <c r="H779" s="33"/>
      <c r="I779" s="29"/>
      <c r="J779" s="29" t="s">
        <v>75</v>
      </c>
      <c r="AA779" t="str">
        <f t="shared" si="12"/>
        <v>Corn</v>
      </c>
    </row>
    <row r="780" ht="30" customHeight="1" spans="1:27">
      <c r="A780" s="29" t="s">
        <v>25</v>
      </c>
      <c r="B780" s="29" t="s">
        <v>236</v>
      </c>
      <c r="C780" s="13" t="s">
        <v>350</v>
      </c>
      <c r="D780" s="29" t="s">
        <v>74</v>
      </c>
      <c r="E780" s="19"/>
      <c r="F780" s="20"/>
      <c r="G780" s="29"/>
      <c r="H780" s="33"/>
      <c r="I780" s="29"/>
      <c r="J780" s="29" t="s">
        <v>75</v>
      </c>
      <c r="AA780" t="str">
        <f t="shared" si="12"/>
        <v>Corn</v>
      </c>
    </row>
    <row r="781" ht="30" customHeight="1" spans="1:27">
      <c r="A781" s="29" t="s">
        <v>25</v>
      </c>
      <c r="B781" s="29" t="s">
        <v>236</v>
      </c>
      <c r="C781" s="13" t="s">
        <v>352</v>
      </c>
      <c r="D781" s="29" t="s">
        <v>77</v>
      </c>
      <c r="E781" s="19"/>
      <c r="F781" s="20">
        <v>1800</v>
      </c>
      <c r="G781" s="29"/>
      <c r="H781" s="29"/>
      <c r="I781" s="33"/>
      <c r="J781" s="29" t="s">
        <v>75</v>
      </c>
      <c r="AA781" t="str">
        <f t="shared" si="12"/>
        <v>Corn</v>
      </c>
    </row>
    <row r="782" ht="30" customHeight="1" spans="1:27">
      <c r="A782" s="29" t="s">
        <v>25</v>
      </c>
      <c r="B782" s="29" t="s">
        <v>236</v>
      </c>
      <c r="C782" s="13" t="s">
        <v>352</v>
      </c>
      <c r="D782" s="29" t="s">
        <v>353</v>
      </c>
      <c r="E782" s="19">
        <v>2500</v>
      </c>
      <c r="F782" s="20"/>
      <c r="G782" s="29"/>
      <c r="H782" s="33"/>
      <c r="I782" s="29"/>
      <c r="J782" s="29" t="s">
        <v>80</v>
      </c>
      <c r="AA782" t="str">
        <f t="shared" si="12"/>
        <v>Livestock (Cattle/Carabao/Swine/Poultry)</v>
      </c>
    </row>
    <row r="783" ht="30" customHeight="1" spans="1:27">
      <c r="A783" s="29" t="s">
        <v>25</v>
      </c>
      <c r="B783" s="29" t="s">
        <v>236</v>
      </c>
      <c r="C783" s="13" t="s">
        <v>352</v>
      </c>
      <c r="D783" s="29" t="s">
        <v>246</v>
      </c>
      <c r="E783" s="19"/>
      <c r="F783" s="20">
        <v>360</v>
      </c>
      <c r="G783" s="29"/>
      <c r="H783" s="29"/>
      <c r="I783" s="33"/>
      <c r="J783" s="29" t="s">
        <v>75</v>
      </c>
      <c r="AA783" t="str">
        <f t="shared" si="12"/>
        <v>Corn</v>
      </c>
    </row>
    <row r="784" ht="30" customHeight="1" spans="1:27">
      <c r="A784" s="29" t="s">
        <v>25</v>
      </c>
      <c r="B784" s="29" t="s">
        <v>236</v>
      </c>
      <c r="C784" s="13" t="s">
        <v>352</v>
      </c>
      <c r="D784" s="29" t="s">
        <v>125</v>
      </c>
      <c r="E784" s="19">
        <v>1440</v>
      </c>
      <c r="F784" s="20"/>
      <c r="G784" s="29"/>
      <c r="H784" s="33"/>
      <c r="I784" s="29"/>
      <c r="J784" s="29" t="s">
        <v>75</v>
      </c>
      <c r="AA784" t="str">
        <f t="shared" si="12"/>
        <v>Corn</v>
      </c>
    </row>
    <row r="785" ht="30" customHeight="1" spans="1:27">
      <c r="A785" s="29" t="s">
        <v>25</v>
      </c>
      <c r="B785" s="29" t="s">
        <v>236</v>
      </c>
      <c r="C785" s="13" t="s">
        <v>352</v>
      </c>
      <c r="D785" s="30" t="s">
        <v>354</v>
      </c>
      <c r="E785" s="19"/>
      <c r="F785" s="20">
        <v>80000</v>
      </c>
      <c r="G785" s="29"/>
      <c r="H785" s="29"/>
      <c r="I785" s="29"/>
      <c r="J785" s="29" t="s">
        <v>29</v>
      </c>
      <c r="AA785" t="str">
        <f t="shared" si="12"/>
        <v>Farm-to-Market Road</v>
      </c>
    </row>
    <row r="786" ht="30" customHeight="1" spans="1:27">
      <c r="A786" s="29" t="s">
        <v>25</v>
      </c>
      <c r="B786" s="29" t="s">
        <v>236</v>
      </c>
      <c r="C786" s="13" t="s">
        <v>352</v>
      </c>
      <c r="D786" s="30" t="s">
        <v>355</v>
      </c>
      <c r="E786" s="19">
        <v>30000</v>
      </c>
      <c r="F786" s="20"/>
      <c r="G786" s="29"/>
      <c r="H786" s="29"/>
      <c r="I786" s="29"/>
      <c r="J786" s="29" t="s">
        <v>29</v>
      </c>
      <c r="AA786" t="str">
        <f t="shared" si="12"/>
        <v>Farm-to-Market Road</v>
      </c>
    </row>
    <row r="787" ht="30" customHeight="1" spans="1:27">
      <c r="A787" s="29" t="s">
        <v>25</v>
      </c>
      <c r="B787" s="29" t="s">
        <v>236</v>
      </c>
      <c r="C787" s="13" t="s">
        <v>352</v>
      </c>
      <c r="D787" s="29" t="s">
        <v>201</v>
      </c>
      <c r="E787" s="19">
        <v>3750</v>
      </c>
      <c r="F787" s="20"/>
      <c r="G787" s="29"/>
      <c r="H787" s="33"/>
      <c r="I787" s="29"/>
      <c r="J787" s="29" t="s">
        <v>134</v>
      </c>
      <c r="AA787" t="str">
        <f t="shared" si="12"/>
        <v>High Value Export Crops (Dragon Fruit/Ube/Okra/Banana)</v>
      </c>
    </row>
    <row r="788" ht="30" customHeight="1" spans="1:27">
      <c r="A788" s="29" t="s">
        <v>25</v>
      </c>
      <c r="B788" s="29" t="s">
        <v>236</v>
      </c>
      <c r="C788" s="13" t="s">
        <v>352</v>
      </c>
      <c r="D788" s="29" t="s">
        <v>240</v>
      </c>
      <c r="E788" s="23">
        <v>3191.6176</v>
      </c>
      <c r="F788" s="24">
        <v>293.0186</v>
      </c>
      <c r="G788" s="29"/>
      <c r="H788" s="33"/>
      <c r="I788" s="33"/>
      <c r="J788" s="29" t="s">
        <v>64</v>
      </c>
      <c r="AA788" t="str">
        <f t="shared" si="12"/>
        <v>Rice</v>
      </c>
    </row>
    <row r="789" ht="30" customHeight="1" spans="1:27">
      <c r="A789" s="29" t="s">
        <v>25</v>
      </c>
      <c r="B789" s="29" t="s">
        <v>236</v>
      </c>
      <c r="C789" s="13" t="s">
        <v>352</v>
      </c>
      <c r="D789" s="29" t="s">
        <v>90</v>
      </c>
      <c r="E789" s="19"/>
      <c r="F789" s="20"/>
      <c r="G789" s="29"/>
      <c r="H789" s="33"/>
      <c r="I789" s="33"/>
      <c r="J789" s="29" t="s">
        <v>75</v>
      </c>
      <c r="AA789" t="str">
        <f t="shared" si="12"/>
        <v>Corn</v>
      </c>
    </row>
    <row r="790" ht="30" customHeight="1" spans="1:27">
      <c r="A790" s="29" t="s">
        <v>25</v>
      </c>
      <c r="B790" s="29" t="s">
        <v>236</v>
      </c>
      <c r="C790" s="13" t="s">
        <v>352</v>
      </c>
      <c r="D790" s="29" t="s">
        <v>70</v>
      </c>
      <c r="E790" s="23">
        <v>14362.2794</v>
      </c>
      <c r="F790" s="20"/>
      <c r="G790" s="29"/>
      <c r="H790" s="33"/>
      <c r="I790" s="29"/>
      <c r="J790" s="29" t="s">
        <v>64</v>
      </c>
      <c r="AA790" t="str">
        <f t="shared" si="12"/>
        <v>Rice</v>
      </c>
    </row>
    <row r="791" ht="30" customHeight="1" spans="1:27">
      <c r="A791" s="29" t="s">
        <v>25</v>
      </c>
      <c r="B791" s="29" t="s">
        <v>236</v>
      </c>
      <c r="C791" s="13" t="s">
        <v>352</v>
      </c>
      <c r="D791" s="29" t="s">
        <v>173</v>
      </c>
      <c r="E791" s="19"/>
      <c r="F791" s="20"/>
      <c r="G791" s="29"/>
      <c r="H791" s="29"/>
      <c r="I791" s="33"/>
      <c r="J791" s="29" t="s">
        <v>75</v>
      </c>
      <c r="AA791" t="str">
        <f t="shared" si="12"/>
        <v>Corn</v>
      </c>
    </row>
    <row r="792" ht="30" customHeight="1" spans="1:27">
      <c r="A792" s="29" t="s">
        <v>25</v>
      </c>
      <c r="B792" s="29" t="s">
        <v>236</v>
      </c>
      <c r="C792" s="13" t="s">
        <v>352</v>
      </c>
      <c r="D792" s="29" t="s">
        <v>91</v>
      </c>
      <c r="E792" s="19"/>
      <c r="F792" s="20">
        <v>6600</v>
      </c>
      <c r="G792" s="29"/>
      <c r="H792" s="29"/>
      <c r="I792" s="33"/>
      <c r="J792" s="29" t="s">
        <v>75</v>
      </c>
      <c r="AA792" t="str">
        <f t="shared" si="12"/>
        <v>Corn</v>
      </c>
    </row>
    <row r="793" ht="45" customHeight="1" spans="1:27">
      <c r="A793" s="29" t="s">
        <v>25</v>
      </c>
      <c r="B793" s="29" t="s">
        <v>236</v>
      </c>
      <c r="C793" s="13" t="s">
        <v>352</v>
      </c>
      <c r="D793" s="29" t="s">
        <v>71</v>
      </c>
      <c r="E793" s="23">
        <v>924.254</v>
      </c>
      <c r="F793" s="20"/>
      <c r="G793" s="29"/>
      <c r="H793" s="33"/>
      <c r="I793" s="29"/>
      <c r="J793" s="29" t="s">
        <v>64</v>
      </c>
      <c r="AA793" t="str">
        <f t="shared" si="12"/>
        <v>Rice</v>
      </c>
    </row>
    <row r="794" ht="30" customHeight="1" spans="1:27">
      <c r="A794" s="29" t="s">
        <v>25</v>
      </c>
      <c r="B794" s="29" t="s">
        <v>236</v>
      </c>
      <c r="C794" s="13" t="s">
        <v>352</v>
      </c>
      <c r="D794" s="29" t="s">
        <v>160</v>
      </c>
      <c r="E794" s="19">
        <v>2500</v>
      </c>
      <c r="F794" s="20"/>
      <c r="G794" s="29"/>
      <c r="H794" s="33"/>
      <c r="I794" s="29"/>
      <c r="J794" s="29" t="s">
        <v>80</v>
      </c>
      <c r="AA794" t="str">
        <f t="shared" si="12"/>
        <v>Livestock (Cattle/Carabao/Swine/Poultry)</v>
      </c>
    </row>
    <row r="795" ht="30" customHeight="1" spans="1:27">
      <c r="A795" s="29" t="s">
        <v>25</v>
      </c>
      <c r="B795" s="29" t="s">
        <v>236</v>
      </c>
      <c r="C795" s="13" t="s">
        <v>352</v>
      </c>
      <c r="D795" s="29" t="s">
        <v>103</v>
      </c>
      <c r="E795" s="19">
        <v>165</v>
      </c>
      <c r="F795" s="20"/>
      <c r="G795" s="29"/>
      <c r="H795" s="33"/>
      <c r="I795" s="29"/>
      <c r="J795" s="29" t="s">
        <v>75</v>
      </c>
      <c r="AA795" t="str">
        <f t="shared" si="12"/>
        <v>Corn</v>
      </c>
    </row>
    <row r="796" ht="30" customHeight="1" spans="1:27">
      <c r="A796" s="29" t="s">
        <v>25</v>
      </c>
      <c r="B796" s="29" t="s">
        <v>236</v>
      </c>
      <c r="C796" s="13" t="s">
        <v>352</v>
      </c>
      <c r="D796" s="29" t="s">
        <v>74</v>
      </c>
      <c r="E796" s="19"/>
      <c r="F796" s="20"/>
      <c r="G796" s="29"/>
      <c r="H796" s="33"/>
      <c r="I796" s="29"/>
      <c r="J796" s="29" t="s">
        <v>75</v>
      </c>
      <c r="AA796" t="str">
        <f t="shared" si="12"/>
        <v>Corn</v>
      </c>
    </row>
    <row r="797" ht="30" customHeight="1" spans="1:27">
      <c r="A797" s="29" t="s">
        <v>25</v>
      </c>
      <c r="B797" s="29" t="s">
        <v>236</v>
      </c>
      <c r="C797" s="13" t="s">
        <v>356</v>
      </c>
      <c r="D797" s="30" t="s">
        <v>357</v>
      </c>
      <c r="E797" s="19"/>
      <c r="F797" s="20">
        <v>15000</v>
      </c>
      <c r="G797" s="29"/>
      <c r="H797" s="29"/>
      <c r="I797" s="29"/>
      <c r="J797" s="29" t="s">
        <v>29</v>
      </c>
      <c r="AA797" t="str">
        <f t="shared" si="12"/>
        <v>Farm-to-Market Road</v>
      </c>
    </row>
    <row r="798" ht="30" customHeight="1" spans="1:27">
      <c r="A798" s="29" t="s">
        <v>25</v>
      </c>
      <c r="B798" s="29" t="s">
        <v>236</v>
      </c>
      <c r="C798" s="13" t="s">
        <v>356</v>
      </c>
      <c r="D798" s="30" t="s">
        <v>358</v>
      </c>
      <c r="E798" s="19"/>
      <c r="F798" s="20">
        <v>15000</v>
      </c>
      <c r="G798" s="29"/>
      <c r="H798" s="29"/>
      <c r="I798" s="29"/>
      <c r="J798" s="29" t="s">
        <v>29</v>
      </c>
      <c r="AA798" t="str">
        <f t="shared" si="12"/>
        <v>Farm-to-Market Road</v>
      </c>
    </row>
    <row r="799" ht="30" customHeight="1" spans="1:27">
      <c r="A799" s="29" t="s">
        <v>25</v>
      </c>
      <c r="B799" s="29" t="s">
        <v>236</v>
      </c>
      <c r="C799" s="13" t="s">
        <v>356</v>
      </c>
      <c r="D799" s="30" t="s">
        <v>359</v>
      </c>
      <c r="E799" s="19">
        <v>57000</v>
      </c>
      <c r="F799" s="20"/>
      <c r="G799" s="29"/>
      <c r="H799" s="29"/>
      <c r="I799" s="29"/>
      <c r="J799" s="29" t="s">
        <v>29</v>
      </c>
      <c r="AA799" t="str">
        <f t="shared" si="12"/>
        <v>Farm-to-Market Road</v>
      </c>
    </row>
    <row r="800" ht="30" customHeight="1" spans="1:27">
      <c r="A800" s="29" t="s">
        <v>25</v>
      </c>
      <c r="B800" s="29" t="s">
        <v>236</v>
      </c>
      <c r="C800" s="13" t="s">
        <v>356</v>
      </c>
      <c r="D800" s="29" t="s">
        <v>240</v>
      </c>
      <c r="E800" s="23">
        <v>12821.6732</v>
      </c>
      <c r="F800" s="24">
        <v>1177.1427</v>
      </c>
      <c r="G800" s="29"/>
      <c r="H800" s="33"/>
      <c r="I800" s="33"/>
      <c r="J800" s="29" t="s">
        <v>64</v>
      </c>
      <c r="AA800" t="str">
        <f t="shared" si="12"/>
        <v>Rice</v>
      </c>
    </row>
    <row r="801" ht="30" customHeight="1" spans="1:27">
      <c r="A801" s="29" t="s">
        <v>25</v>
      </c>
      <c r="B801" s="29" t="s">
        <v>236</v>
      </c>
      <c r="C801" s="13" t="s">
        <v>356</v>
      </c>
      <c r="D801" s="29" t="s">
        <v>360</v>
      </c>
      <c r="E801" s="19">
        <v>350</v>
      </c>
      <c r="F801" s="20"/>
      <c r="G801" s="29"/>
      <c r="H801" s="33"/>
      <c r="I801" s="29"/>
      <c r="J801" s="29" t="s">
        <v>33</v>
      </c>
      <c r="AA801" t="str">
        <f t="shared" si="12"/>
        <v>Various Commodities (SAAD)</v>
      </c>
    </row>
    <row r="802" ht="30" customHeight="1" spans="1:27">
      <c r="A802" s="29" t="s">
        <v>25</v>
      </c>
      <c r="B802" s="29" t="s">
        <v>236</v>
      </c>
      <c r="C802" s="13" t="s">
        <v>356</v>
      </c>
      <c r="D802" s="29" t="s">
        <v>32</v>
      </c>
      <c r="E802" s="19">
        <v>1516</v>
      </c>
      <c r="F802" s="20"/>
      <c r="G802" s="29"/>
      <c r="H802" s="33"/>
      <c r="I802" s="29"/>
      <c r="J802" s="29" t="s">
        <v>33</v>
      </c>
      <c r="AA802" t="str">
        <f t="shared" si="12"/>
        <v>Various Commodities (SAAD)</v>
      </c>
    </row>
    <row r="803" ht="30" customHeight="1" spans="1:27">
      <c r="A803" s="29" t="s">
        <v>25</v>
      </c>
      <c r="B803" s="29" t="s">
        <v>236</v>
      </c>
      <c r="C803" s="13" t="s">
        <v>356</v>
      </c>
      <c r="D803" s="29" t="s">
        <v>90</v>
      </c>
      <c r="E803" s="19"/>
      <c r="F803" s="20"/>
      <c r="G803" s="29"/>
      <c r="H803" s="33"/>
      <c r="I803" s="33"/>
      <c r="J803" s="29" t="s">
        <v>75</v>
      </c>
      <c r="AA803" t="str">
        <f t="shared" si="12"/>
        <v>Corn</v>
      </c>
    </row>
    <row r="804" ht="45" customHeight="1" spans="1:27">
      <c r="A804" s="29" t="s">
        <v>25</v>
      </c>
      <c r="B804" s="29" t="s">
        <v>236</v>
      </c>
      <c r="C804" s="13" t="s">
        <v>356</v>
      </c>
      <c r="D804" s="29" t="s">
        <v>70</v>
      </c>
      <c r="E804" s="23">
        <v>57697.5294</v>
      </c>
      <c r="F804" s="20"/>
      <c r="G804" s="29"/>
      <c r="H804" s="33"/>
      <c r="I804" s="29"/>
      <c r="J804" s="29" t="s">
        <v>64</v>
      </c>
      <c r="AA804" t="str">
        <f t="shared" si="12"/>
        <v>Rice</v>
      </c>
    </row>
    <row r="805" ht="30" spans="1:27">
      <c r="A805" s="29" t="s">
        <v>25</v>
      </c>
      <c r="B805" s="29" t="s">
        <v>236</v>
      </c>
      <c r="C805" s="13" t="s">
        <v>356</v>
      </c>
      <c r="D805" s="29" t="s">
        <v>71</v>
      </c>
      <c r="E805" s="23">
        <v>3713.0022</v>
      </c>
      <c r="F805" s="20"/>
      <c r="G805" s="29"/>
      <c r="H805" s="33"/>
      <c r="I805" s="29"/>
      <c r="J805" s="29" t="s">
        <v>64</v>
      </c>
      <c r="AA805" t="str">
        <f t="shared" si="12"/>
        <v>Rice</v>
      </c>
    </row>
    <row r="806" ht="30" customHeight="1" spans="1:27">
      <c r="A806" s="29" t="s">
        <v>25</v>
      </c>
      <c r="B806" s="29" t="s">
        <v>236</v>
      </c>
      <c r="C806" s="13" t="s">
        <v>361</v>
      </c>
      <c r="D806" s="30" t="s">
        <v>362</v>
      </c>
      <c r="E806" s="19">
        <v>15000</v>
      </c>
      <c r="F806" s="20"/>
      <c r="G806" s="29"/>
      <c r="H806" s="29"/>
      <c r="I806" s="29"/>
      <c r="J806" s="29" t="s">
        <v>29</v>
      </c>
      <c r="AA806" t="str">
        <f t="shared" si="12"/>
        <v>Farm-to-Market Road</v>
      </c>
    </row>
    <row r="807" ht="30" customHeight="1" spans="1:27">
      <c r="A807" s="29" t="s">
        <v>25</v>
      </c>
      <c r="B807" s="29" t="s">
        <v>236</v>
      </c>
      <c r="C807" s="13" t="s">
        <v>361</v>
      </c>
      <c r="D807" s="29" t="s">
        <v>240</v>
      </c>
      <c r="E807" s="23">
        <v>20930.4971</v>
      </c>
      <c r="F807" s="24">
        <v>1921.6042</v>
      </c>
      <c r="G807" s="29"/>
      <c r="H807" s="33"/>
      <c r="I807" s="33"/>
      <c r="J807" s="29" t="s">
        <v>64</v>
      </c>
      <c r="AA807" t="str">
        <f t="shared" si="12"/>
        <v>Rice</v>
      </c>
    </row>
    <row r="808" ht="30" customHeight="1" spans="1:27">
      <c r="A808" s="29" t="s">
        <v>25</v>
      </c>
      <c r="B808" s="29" t="s">
        <v>236</v>
      </c>
      <c r="C808" s="13" t="s">
        <v>361</v>
      </c>
      <c r="D808" s="29" t="s">
        <v>202</v>
      </c>
      <c r="E808" s="19">
        <v>840</v>
      </c>
      <c r="F808" s="20"/>
      <c r="G808" s="29"/>
      <c r="H808" s="33"/>
      <c r="I808" s="29"/>
      <c r="J808" s="29" t="s">
        <v>35</v>
      </c>
      <c r="AA808" t="str">
        <f t="shared" si="12"/>
        <v>High Value Crops (Vegetables/Fruits/Rootcrops)</v>
      </c>
    </row>
    <row r="809" ht="30" customHeight="1" spans="1:27">
      <c r="A809" s="29" t="s">
        <v>25</v>
      </c>
      <c r="B809" s="29" t="s">
        <v>236</v>
      </c>
      <c r="C809" s="13" t="s">
        <v>361</v>
      </c>
      <c r="D809" s="29" t="s">
        <v>90</v>
      </c>
      <c r="E809" s="19"/>
      <c r="F809" s="20"/>
      <c r="G809" s="29"/>
      <c r="H809" s="33"/>
      <c r="I809" s="33"/>
      <c r="J809" s="29" t="s">
        <v>75</v>
      </c>
      <c r="AA809" t="str">
        <f t="shared" si="12"/>
        <v>Corn</v>
      </c>
    </row>
    <row r="810" ht="30" customHeight="1" spans="1:27">
      <c r="A810" s="29" t="s">
        <v>25</v>
      </c>
      <c r="B810" s="29" t="s">
        <v>236</v>
      </c>
      <c r="C810" s="13" t="s">
        <v>361</v>
      </c>
      <c r="D810" s="29" t="s">
        <v>70</v>
      </c>
      <c r="E810" s="23">
        <v>94187.237</v>
      </c>
      <c r="F810" s="20"/>
      <c r="G810" s="29"/>
      <c r="H810" s="33"/>
      <c r="I810" s="29"/>
      <c r="J810" s="29" t="s">
        <v>64</v>
      </c>
      <c r="AA810" t="str">
        <f t="shared" si="12"/>
        <v>Rice</v>
      </c>
    </row>
    <row r="811" ht="30" customHeight="1" spans="1:27">
      <c r="A811" s="29" t="s">
        <v>25</v>
      </c>
      <c r="B811" s="29" t="s">
        <v>236</v>
      </c>
      <c r="C811" s="13" t="s">
        <v>361</v>
      </c>
      <c r="D811" s="29" t="s">
        <v>71</v>
      </c>
      <c r="E811" s="23">
        <v>6061.22</v>
      </c>
      <c r="F811" s="20"/>
      <c r="G811" s="29"/>
      <c r="H811" s="33"/>
      <c r="I811" s="29"/>
      <c r="J811" s="29" t="s">
        <v>64</v>
      </c>
      <c r="AA811" t="str">
        <f t="shared" si="12"/>
        <v>Rice</v>
      </c>
    </row>
    <row r="812" ht="30" customHeight="1" spans="1:27">
      <c r="A812" s="29" t="s">
        <v>25</v>
      </c>
      <c r="B812" s="29" t="s">
        <v>236</v>
      </c>
      <c r="C812" s="13" t="s">
        <v>361</v>
      </c>
      <c r="D812" s="29" t="s">
        <v>72</v>
      </c>
      <c r="E812" s="19">
        <v>6189.82</v>
      </c>
      <c r="F812" s="20"/>
      <c r="G812" s="29"/>
      <c r="H812" s="33"/>
      <c r="I812" s="29"/>
      <c r="J812" s="29" t="s">
        <v>35</v>
      </c>
      <c r="AA812" t="str">
        <f t="shared" si="12"/>
        <v>High Value Crops (Vegetables/Fruits/Rootcrops)</v>
      </c>
    </row>
    <row r="813" ht="30" customHeight="1" spans="1:27">
      <c r="A813" s="29" t="s">
        <v>25</v>
      </c>
      <c r="B813" s="29" t="s">
        <v>236</v>
      </c>
      <c r="C813" s="13" t="s">
        <v>361</v>
      </c>
      <c r="D813" s="29" t="s">
        <v>36</v>
      </c>
      <c r="E813" s="19">
        <v>15000</v>
      </c>
      <c r="F813" s="20"/>
      <c r="G813" s="29"/>
      <c r="H813" s="33"/>
      <c r="I813" s="29"/>
      <c r="J813" s="29" t="s">
        <v>35</v>
      </c>
      <c r="AA813" t="str">
        <f t="shared" si="12"/>
        <v>High Value Crops (Vegetables/Fruits/Rootcrops)</v>
      </c>
    </row>
    <row r="814" ht="30" spans="1:27">
      <c r="A814" s="29" t="s">
        <v>25</v>
      </c>
      <c r="B814" s="29" t="s">
        <v>236</v>
      </c>
      <c r="C814" s="13" t="s">
        <v>363</v>
      </c>
      <c r="D814" s="29" t="s">
        <v>125</v>
      </c>
      <c r="E814" s="19">
        <v>720</v>
      </c>
      <c r="F814" s="20"/>
      <c r="G814" s="29"/>
      <c r="H814" s="33"/>
      <c r="I814" s="29"/>
      <c r="J814" s="29" t="s">
        <v>75</v>
      </c>
      <c r="AA814" t="str">
        <f t="shared" si="12"/>
        <v>Corn</v>
      </c>
    </row>
    <row r="815" ht="30" customHeight="1" spans="1:27">
      <c r="A815" s="29" t="s">
        <v>25</v>
      </c>
      <c r="B815" s="29" t="s">
        <v>236</v>
      </c>
      <c r="C815" s="13" t="s">
        <v>363</v>
      </c>
      <c r="D815" s="29" t="s">
        <v>310</v>
      </c>
      <c r="E815" s="19">
        <v>2700</v>
      </c>
      <c r="F815" s="20"/>
      <c r="G815" s="29"/>
      <c r="H815" s="33"/>
      <c r="I815" s="29"/>
      <c r="J815" s="29" t="s">
        <v>80</v>
      </c>
      <c r="AA815" t="str">
        <f t="shared" si="12"/>
        <v>Livestock (Cattle/Carabao/Swine/Poultry)</v>
      </c>
    </row>
    <row r="816" ht="30" customHeight="1" spans="1:27">
      <c r="A816" s="29" t="s">
        <v>25</v>
      </c>
      <c r="B816" s="29" t="s">
        <v>236</v>
      </c>
      <c r="C816" s="13" t="s">
        <v>363</v>
      </c>
      <c r="D816" s="29" t="s">
        <v>242</v>
      </c>
      <c r="E816" s="19">
        <v>2700</v>
      </c>
      <c r="F816" s="20"/>
      <c r="G816" s="29"/>
      <c r="H816" s="33"/>
      <c r="I816" s="29"/>
      <c r="J816" s="29" t="s">
        <v>80</v>
      </c>
      <c r="AA816" t="str">
        <f t="shared" si="12"/>
        <v>Livestock (Cattle/Carabao/Swine/Poultry)</v>
      </c>
    </row>
    <row r="817" ht="30" customHeight="1" spans="1:27">
      <c r="A817" s="29" t="s">
        <v>25</v>
      </c>
      <c r="B817" s="29" t="s">
        <v>236</v>
      </c>
      <c r="C817" s="13" t="s">
        <v>363</v>
      </c>
      <c r="D817" s="30" t="s">
        <v>364</v>
      </c>
      <c r="E817" s="19">
        <v>30000</v>
      </c>
      <c r="F817" s="20"/>
      <c r="G817" s="29"/>
      <c r="H817" s="29"/>
      <c r="I817" s="29"/>
      <c r="J817" s="29" t="s">
        <v>29</v>
      </c>
      <c r="AA817" t="str">
        <f t="shared" si="12"/>
        <v>Farm-to-Market Road</v>
      </c>
    </row>
    <row r="818" ht="30" spans="1:27">
      <c r="A818" s="29" t="s">
        <v>25</v>
      </c>
      <c r="B818" s="29" t="s">
        <v>236</v>
      </c>
      <c r="C818" s="13" t="s">
        <v>363</v>
      </c>
      <c r="D818" s="29" t="s">
        <v>63</v>
      </c>
      <c r="E818" s="23">
        <v>8230.9433</v>
      </c>
      <c r="F818" s="24">
        <v>755.6732</v>
      </c>
      <c r="G818" s="29"/>
      <c r="H818" s="33"/>
      <c r="I818" s="33"/>
      <c r="J818" s="29" t="s">
        <v>64</v>
      </c>
      <c r="AA818" t="str">
        <f t="shared" si="12"/>
        <v>Rice</v>
      </c>
    </row>
    <row r="819" ht="30" customHeight="1" spans="1:27">
      <c r="A819" s="29" t="s">
        <v>25</v>
      </c>
      <c r="B819" s="29" t="s">
        <v>236</v>
      </c>
      <c r="C819" s="13" t="s">
        <v>363</v>
      </c>
      <c r="D819" s="29" t="s">
        <v>171</v>
      </c>
      <c r="E819" s="19">
        <v>30.4</v>
      </c>
      <c r="F819" s="20"/>
      <c r="G819" s="29"/>
      <c r="H819" s="33"/>
      <c r="I819" s="29"/>
      <c r="J819" s="29" t="s">
        <v>166</v>
      </c>
      <c r="AA819" t="str">
        <f t="shared" si="12"/>
        <v>Various Commodities (4Ks)</v>
      </c>
    </row>
    <row r="820" ht="30" customHeight="1" spans="1:27">
      <c r="A820" s="29" t="s">
        <v>25</v>
      </c>
      <c r="B820" s="29" t="s">
        <v>236</v>
      </c>
      <c r="C820" s="13" t="s">
        <v>363</v>
      </c>
      <c r="D820" s="29" t="s">
        <v>165</v>
      </c>
      <c r="E820" s="19">
        <v>540</v>
      </c>
      <c r="F820" s="20"/>
      <c r="G820" s="29"/>
      <c r="H820" s="33"/>
      <c r="I820" s="29"/>
      <c r="J820" s="29" t="s">
        <v>166</v>
      </c>
      <c r="AA820" t="str">
        <f t="shared" si="12"/>
        <v>Various Commodities (4Ks)</v>
      </c>
    </row>
    <row r="821" spans="1:27">
      <c r="A821" s="29" t="s">
        <v>25</v>
      </c>
      <c r="B821" s="29" t="s">
        <v>236</v>
      </c>
      <c r="C821" s="13" t="s">
        <v>363</v>
      </c>
      <c r="D821" s="29" t="s">
        <v>172</v>
      </c>
      <c r="E821" s="19">
        <v>25</v>
      </c>
      <c r="F821" s="20"/>
      <c r="G821" s="29"/>
      <c r="H821" s="33"/>
      <c r="I821" s="29"/>
      <c r="J821" s="29" t="s">
        <v>166</v>
      </c>
      <c r="AA821" t="str">
        <f t="shared" si="12"/>
        <v>Various Commodities (4Ks)</v>
      </c>
    </row>
    <row r="822" ht="30" customHeight="1" spans="1:27">
      <c r="A822" s="29" t="s">
        <v>25</v>
      </c>
      <c r="B822" s="29" t="s">
        <v>236</v>
      </c>
      <c r="C822" s="13" t="s">
        <v>363</v>
      </c>
      <c r="D822" s="29" t="s">
        <v>167</v>
      </c>
      <c r="E822" s="19">
        <v>300</v>
      </c>
      <c r="F822" s="20"/>
      <c r="G822" s="29"/>
      <c r="H822" s="33"/>
      <c r="I822" s="29"/>
      <c r="J822" s="29" t="s">
        <v>166</v>
      </c>
      <c r="AA822" t="str">
        <f t="shared" si="12"/>
        <v>Various Commodities (4Ks)</v>
      </c>
    </row>
    <row r="823" ht="30" customHeight="1" spans="1:27">
      <c r="A823" s="29" t="s">
        <v>25</v>
      </c>
      <c r="B823" s="29" t="s">
        <v>236</v>
      </c>
      <c r="C823" s="13" t="s">
        <v>363</v>
      </c>
      <c r="D823" s="29" t="s">
        <v>90</v>
      </c>
      <c r="E823" s="19"/>
      <c r="F823" s="20"/>
      <c r="G823" s="29"/>
      <c r="H823" s="33"/>
      <c r="I823" s="33"/>
      <c r="J823" s="29" t="s">
        <v>75</v>
      </c>
      <c r="AA823" t="str">
        <f t="shared" si="12"/>
        <v>Corn</v>
      </c>
    </row>
    <row r="824" ht="30" customHeight="1" spans="1:27">
      <c r="A824" s="29" t="s">
        <v>25</v>
      </c>
      <c r="B824" s="29" t="s">
        <v>236</v>
      </c>
      <c r="C824" s="13" t="s">
        <v>363</v>
      </c>
      <c r="D824" s="29" t="s">
        <v>70</v>
      </c>
      <c r="E824" s="23">
        <v>37039.2449</v>
      </c>
      <c r="F824" s="20"/>
      <c r="G824" s="29"/>
      <c r="H824" s="33"/>
      <c r="I824" s="29"/>
      <c r="J824" s="29" t="s">
        <v>64</v>
      </c>
      <c r="AA824" t="str">
        <f t="shared" si="12"/>
        <v>Rice</v>
      </c>
    </row>
    <row r="825" ht="30" customHeight="1" spans="1:27">
      <c r="A825" s="29" t="s">
        <v>25</v>
      </c>
      <c r="B825" s="29" t="s">
        <v>236</v>
      </c>
      <c r="C825" s="13" t="s">
        <v>363</v>
      </c>
      <c r="D825" s="29" t="s">
        <v>71</v>
      </c>
      <c r="E825" s="23">
        <v>2383.5821</v>
      </c>
      <c r="F825" s="20"/>
      <c r="G825" s="29"/>
      <c r="H825" s="33"/>
      <c r="I825" s="29"/>
      <c r="J825" s="29" t="s">
        <v>64</v>
      </c>
      <c r="AA825" t="str">
        <f t="shared" si="12"/>
        <v>Rice</v>
      </c>
    </row>
    <row r="826" ht="45" customHeight="1" spans="1:27">
      <c r="A826" s="29" t="s">
        <v>25</v>
      </c>
      <c r="B826" s="29" t="s">
        <v>236</v>
      </c>
      <c r="C826" s="13" t="s">
        <v>363</v>
      </c>
      <c r="D826" s="29" t="s">
        <v>174</v>
      </c>
      <c r="E826" s="19">
        <v>10</v>
      </c>
      <c r="F826" s="20"/>
      <c r="G826" s="29"/>
      <c r="H826" s="33"/>
      <c r="I826" s="29"/>
      <c r="J826" s="29" t="s">
        <v>166</v>
      </c>
      <c r="AA826" t="str">
        <f t="shared" si="12"/>
        <v>Various Commodities (4Ks)</v>
      </c>
    </row>
    <row r="827" spans="1:27">
      <c r="A827" s="29" t="s">
        <v>25</v>
      </c>
      <c r="B827" s="29" t="s">
        <v>236</v>
      </c>
      <c r="C827" s="13" t="s">
        <v>363</v>
      </c>
      <c r="D827" s="29" t="s">
        <v>175</v>
      </c>
      <c r="E827" s="19">
        <v>74.168</v>
      </c>
      <c r="F827" s="20"/>
      <c r="G827" s="29"/>
      <c r="H827" s="33"/>
      <c r="I827" s="29"/>
      <c r="J827" s="29" t="s">
        <v>166</v>
      </c>
      <c r="AA827" t="str">
        <f t="shared" si="12"/>
        <v>Various Commodities (4Ks)</v>
      </c>
    </row>
    <row r="828" spans="1:27">
      <c r="A828" s="29" t="s">
        <v>25</v>
      </c>
      <c r="B828" s="29" t="s">
        <v>236</v>
      </c>
      <c r="C828" s="13" t="s">
        <v>363</v>
      </c>
      <c r="D828" s="29" t="s">
        <v>365</v>
      </c>
      <c r="E828" s="19">
        <v>1100</v>
      </c>
      <c r="F828" s="20"/>
      <c r="G828" s="29"/>
      <c r="H828" s="33"/>
      <c r="I828" s="29"/>
      <c r="J828" s="29" t="s">
        <v>96</v>
      </c>
      <c r="AA828" t="str">
        <f t="shared" si="12"/>
        <v>Corn</v>
      </c>
    </row>
    <row r="829" ht="30" spans="1:27">
      <c r="A829" s="29" t="s">
        <v>25</v>
      </c>
      <c r="B829" s="29" t="s">
        <v>236</v>
      </c>
      <c r="C829" s="13" t="s">
        <v>363</v>
      </c>
      <c r="D829" s="29" t="s">
        <v>119</v>
      </c>
      <c r="E829" s="19">
        <v>200</v>
      </c>
      <c r="F829" s="20"/>
      <c r="G829" s="29"/>
      <c r="H829" s="33"/>
      <c r="I829" s="29"/>
      <c r="J829" s="29" t="s">
        <v>96</v>
      </c>
      <c r="AA829" t="str">
        <f t="shared" si="12"/>
        <v>Corn</v>
      </c>
    </row>
    <row r="830" ht="30" customHeight="1" spans="1:27">
      <c r="A830" s="29" t="s">
        <v>25</v>
      </c>
      <c r="B830" s="29" t="s">
        <v>236</v>
      </c>
      <c r="C830" s="13" t="s">
        <v>363</v>
      </c>
      <c r="D830" s="29" t="s">
        <v>366</v>
      </c>
      <c r="E830" s="19">
        <v>600</v>
      </c>
      <c r="F830" s="20"/>
      <c r="G830" s="29"/>
      <c r="H830" s="33"/>
      <c r="I830" s="29"/>
      <c r="J830" s="29" t="s">
        <v>166</v>
      </c>
      <c r="AA830" t="str">
        <f t="shared" si="12"/>
        <v>Various Commodities (4Ks)</v>
      </c>
    </row>
    <row r="831" spans="1:27">
      <c r="A831" s="29" t="s">
        <v>25</v>
      </c>
      <c r="B831" s="29" t="s">
        <v>236</v>
      </c>
      <c r="C831" s="13" t="s">
        <v>363</v>
      </c>
      <c r="D831" s="29" t="s">
        <v>95</v>
      </c>
      <c r="E831" s="19">
        <v>1000</v>
      </c>
      <c r="F831" s="20"/>
      <c r="G831" s="29"/>
      <c r="H831" s="33"/>
      <c r="I831" s="29"/>
      <c r="J831" s="29" t="s">
        <v>96</v>
      </c>
      <c r="AA831" t="str">
        <f t="shared" si="12"/>
        <v>Corn</v>
      </c>
    </row>
    <row r="832" ht="30" spans="1:27">
      <c r="A832" s="29" t="s">
        <v>25</v>
      </c>
      <c r="B832" s="29" t="s">
        <v>236</v>
      </c>
      <c r="C832" s="13" t="s">
        <v>363</v>
      </c>
      <c r="D832" s="29" t="s">
        <v>367</v>
      </c>
      <c r="E832" s="19"/>
      <c r="F832" s="20">
        <v>1000</v>
      </c>
      <c r="G832" s="29"/>
      <c r="H832" s="29"/>
      <c r="I832" s="33"/>
      <c r="J832" s="29" t="s">
        <v>75</v>
      </c>
      <c r="AA832" t="str">
        <f t="shared" si="12"/>
        <v>Corn</v>
      </c>
    </row>
    <row r="833" spans="1:27">
      <c r="A833" s="29" t="s">
        <v>25</v>
      </c>
      <c r="B833" s="29" t="s">
        <v>236</v>
      </c>
      <c r="C833" s="13" t="s">
        <v>363</v>
      </c>
      <c r="D833" s="29" t="s">
        <v>177</v>
      </c>
      <c r="E833" s="19">
        <v>20</v>
      </c>
      <c r="F833" s="20"/>
      <c r="G833" s="29"/>
      <c r="H833" s="33"/>
      <c r="I833" s="29"/>
      <c r="J833" s="29" t="s">
        <v>166</v>
      </c>
      <c r="AA833" t="str">
        <f t="shared" si="12"/>
        <v>Various Commodities (4Ks)</v>
      </c>
    </row>
    <row r="834" ht="30" spans="1:27">
      <c r="A834" s="29" t="s">
        <v>25</v>
      </c>
      <c r="B834" s="29" t="s">
        <v>236</v>
      </c>
      <c r="C834" s="13" t="s">
        <v>363</v>
      </c>
      <c r="D834" s="29" t="s">
        <v>127</v>
      </c>
      <c r="E834" s="19">
        <v>220</v>
      </c>
      <c r="F834" s="20"/>
      <c r="G834" s="29"/>
      <c r="H834" s="33"/>
      <c r="I834" s="29"/>
      <c r="J834" s="29" t="s">
        <v>75</v>
      </c>
      <c r="AA834" t="str">
        <f t="shared" si="12"/>
        <v>Corn</v>
      </c>
    </row>
    <row r="835" ht="30" customHeight="1" spans="1:27">
      <c r="A835" s="29" t="s">
        <v>25</v>
      </c>
      <c r="B835" s="29" t="s">
        <v>236</v>
      </c>
      <c r="C835" s="13" t="s">
        <v>363</v>
      </c>
      <c r="D835" s="29" t="s">
        <v>128</v>
      </c>
      <c r="E835" s="19">
        <v>600</v>
      </c>
      <c r="F835" s="20"/>
      <c r="G835" s="29"/>
      <c r="H835" s="33"/>
      <c r="I835" s="29"/>
      <c r="J835" s="29" t="s">
        <v>75</v>
      </c>
      <c r="AA835" t="str">
        <f t="shared" si="12"/>
        <v>Corn</v>
      </c>
    </row>
    <row r="836" ht="30" customHeight="1" spans="1:27">
      <c r="A836" s="29" t="s">
        <v>25</v>
      </c>
      <c r="B836" s="29" t="s">
        <v>236</v>
      </c>
      <c r="C836" s="13" t="s">
        <v>363</v>
      </c>
      <c r="D836" s="29" t="s">
        <v>337</v>
      </c>
      <c r="E836" s="19">
        <v>12000</v>
      </c>
      <c r="F836" s="20"/>
      <c r="G836" s="29"/>
      <c r="H836" s="33"/>
      <c r="I836" s="29"/>
      <c r="J836" s="29" t="s">
        <v>67</v>
      </c>
      <c r="AA836" t="str">
        <f t="shared" si="12"/>
        <v>Rice</v>
      </c>
    </row>
    <row r="837" spans="1:27">
      <c r="A837" s="29" t="s">
        <v>25</v>
      </c>
      <c r="B837" s="29" t="s">
        <v>236</v>
      </c>
      <c r="C837" s="13" t="s">
        <v>363</v>
      </c>
      <c r="D837" s="29" t="s">
        <v>190</v>
      </c>
      <c r="E837" s="19">
        <v>400</v>
      </c>
      <c r="F837" s="20"/>
      <c r="G837" s="29"/>
      <c r="H837" s="33"/>
      <c r="I837" s="29"/>
      <c r="J837" s="29" t="s">
        <v>75</v>
      </c>
      <c r="AA837" t="str">
        <f t="shared" si="12"/>
        <v>Corn</v>
      </c>
    </row>
    <row r="838" spans="1:27">
      <c r="A838" s="29" t="s">
        <v>25</v>
      </c>
      <c r="B838" s="29" t="s">
        <v>236</v>
      </c>
      <c r="C838" s="13" t="s">
        <v>363</v>
      </c>
      <c r="D838" s="29" t="s">
        <v>180</v>
      </c>
      <c r="E838" s="19">
        <v>600</v>
      </c>
      <c r="F838" s="20"/>
      <c r="G838" s="29"/>
      <c r="H838" s="33"/>
      <c r="I838" s="29"/>
      <c r="J838" s="29" t="s">
        <v>166</v>
      </c>
      <c r="AA838" t="str">
        <f t="shared" si="12"/>
        <v>Various Commodities (4Ks)</v>
      </c>
    </row>
    <row r="839" spans="1:27">
      <c r="A839" s="29" t="s">
        <v>25</v>
      </c>
      <c r="B839" s="29" t="s">
        <v>236</v>
      </c>
      <c r="C839" s="13" t="s">
        <v>363</v>
      </c>
      <c r="D839" s="29" t="s">
        <v>181</v>
      </c>
      <c r="E839" s="19">
        <v>44.94</v>
      </c>
      <c r="F839" s="20"/>
      <c r="G839" s="29"/>
      <c r="H839" s="33"/>
      <c r="I839" s="29"/>
      <c r="J839" s="29" t="s">
        <v>166</v>
      </c>
      <c r="AA839" t="str">
        <f t="shared" si="12"/>
        <v>Various Commodities (4Ks)</v>
      </c>
    </row>
    <row r="840" spans="1:27">
      <c r="A840" s="29" t="s">
        <v>25</v>
      </c>
      <c r="B840" s="29" t="s">
        <v>236</v>
      </c>
      <c r="C840" s="13" t="s">
        <v>363</v>
      </c>
      <c r="D840" s="29" t="s">
        <v>141</v>
      </c>
      <c r="E840" s="19">
        <v>11000</v>
      </c>
      <c r="F840" s="20"/>
      <c r="G840" s="29"/>
      <c r="H840" s="33"/>
      <c r="I840" s="29"/>
      <c r="J840" s="29" t="s">
        <v>67</v>
      </c>
      <c r="AA840" t="str">
        <f t="shared" si="12"/>
        <v>Rice</v>
      </c>
    </row>
    <row r="841" ht="30" customHeight="1" spans="1:27">
      <c r="A841" s="29" t="s">
        <v>25</v>
      </c>
      <c r="B841" s="29" t="s">
        <v>236</v>
      </c>
      <c r="C841" s="13" t="s">
        <v>363</v>
      </c>
      <c r="D841" s="29" t="s">
        <v>103</v>
      </c>
      <c r="E841" s="19">
        <v>275</v>
      </c>
      <c r="F841" s="20"/>
      <c r="G841" s="29"/>
      <c r="H841" s="33"/>
      <c r="I841" s="29"/>
      <c r="J841" s="29" t="s">
        <v>75</v>
      </c>
      <c r="AA841" t="str">
        <f t="shared" si="12"/>
        <v>Corn</v>
      </c>
    </row>
    <row r="842" ht="30" spans="1:27">
      <c r="A842" s="29" t="s">
        <v>25</v>
      </c>
      <c r="B842" s="29" t="s">
        <v>236</v>
      </c>
      <c r="C842" s="13" t="s">
        <v>363</v>
      </c>
      <c r="D842" s="29" t="s">
        <v>74</v>
      </c>
      <c r="E842" s="19"/>
      <c r="F842" s="20"/>
      <c r="G842" s="29"/>
      <c r="H842" s="33"/>
      <c r="I842" s="29"/>
      <c r="J842" s="29" t="s">
        <v>75</v>
      </c>
      <c r="AA842" t="str">
        <f t="shared" ref="AA842:AA905" si="13">_xlfn.IFS(J842="DA-FMRDP","Farm-to-Market Road",J842="DA-RFO2 RICE","Rice",J842="DA-RFO2 Rice Program","Rice",J842="DA-RFO2 CORN","Corn",J842="DA-RFO2 Corn Program","Corn",J842="DA-RFO2 HVCDP","High Value Crops (Vegetables/Fruits/Rootcrops)",J842="DA-RFO2 HVCDP Export","High Value Export Crops (Dragon Fruit/Ube/Okra/Banana)",J842="DA-RFO2 HVCDP Coffee","Coffee (HVCDP)",J842="DA-RFO2 LIVESTOCK","Livestock (Cattle/Carabao/Swine/Poultry)",J842="DA-RFO2 SAAD","Various Commodities (SAAD)",J842="DA-RFO2 4K","Various Commodities (4Ks)",J842="DA-RFO2 4KS","Various Commodities (4Ks)",J842="DA-RFO2 HALAL","Halal Food Products",J842="DA-RFO2 OAP","Organic Agriculture",J842="DA-RFO2 NUPAP","Vegetables (NUPAP/Urban Agri)",TRUE,IF(ISNUMBER(SEARCH("FMR",D842)),"Farm-to-Market Road",IF(ISNUMBER(SEARCH("RICE",D842)),"Rice",IF(ISNUMBER(SEARCH("CORN",D842)),"Corn",IF(ISNUMBER(SEARCH("HVCDP COFFEE",D842)),"Coffee (HVCDP)",IF(ISNUMBER(SEARCH("HVCDP EXPORT",D842)),"High Value Export Crops (Dragon Fruit/Ube/Okra/Banana)",IF(ISNUMBER(SEARCH("HVCDP",D842)),"High Value Crops (Vegetables/Fruits/Rootcrops)",IF(ISNUMBER(SEARCH("LIVESTOCK",D842)),"Livestock (Cattle/Carabao/Swine/Poultry)",IF(ISNUMBER(SEARCH("SAAD",D842)),"Various Commodities (SAAD)",IF(ISNUMBER(SEARCH("4KS",D842)),"Various Commodities (4Ks)",IF(ISNUMBER(SEARCH("4K",D842)),"Various Commodities (4Ks)",IF(ISNUMBER(SEARCH("HALAL",D842)),"Halal Food Products",IF(ISNUMBER(SEARCH("OAP",D842)),"Organic Agriculture",IF(ISNUMBER(SEARCH("NUPAP",D842)),"Vegetables (NUPAP/Urban Agri)",""))))))))))))))</f>
        <v>Corn</v>
      </c>
    </row>
    <row r="843" ht="30" spans="1:27">
      <c r="A843" s="29" t="s">
        <v>25</v>
      </c>
      <c r="B843" s="29" t="s">
        <v>236</v>
      </c>
      <c r="C843" s="13" t="s">
        <v>368</v>
      </c>
      <c r="D843" s="30" t="s">
        <v>369</v>
      </c>
      <c r="E843" s="19"/>
      <c r="F843" s="20">
        <v>15000</v>
      </c>
      <c r="G843" s="29"/>
      <c r="H843" s="29"/>
      <c r="I843" s="29"/>
      <c r="J843" s="29" t="s">
        <v>29</v>
      </c>
      <c r="AA843" t="str">
        <f t="shared" si="13"/>
        <v>Farm-to-Market Road</v>
      </c>
    </row>
    <row r="844" ht="45" spans="1:27">
      <c r="A844" s="29" t="s">
        <v>25</v>
      </c>
      <c r="B844" s="29" t="s">
        <v>236</v>
      </c>
      <c r="C844" s="13" t="s">
        <v>368</v>
      </c>
      <c r="D844" s="30" t="s">
        <v>370</v>
      </c>
      <c r="E844" s="19"/>
      <c r="F844" s="20">
        <v>15000</v>
      </c>
      <c r="G844" s="29"/>
      <c r="H844" s="29"/>
      <c r="I844" s="29"/>
      <c r="J844" s="29" t="s">
        <v>29</v>
      </c>
      <c r="AA844" t="str">
        <f t="shared" si="13"/>
        <v>Farm-to-Market Road</v>
      </c>
    </row>
    <row r="845" spans="1:27">
      <c r="A845" s="29" t="s">
        <v>25</v>
      </c>
      <c r="B845" s="29" t="s">
        <v>236</v>
      </c>
      <c r="C845" s="13" t="s">
        <v>368</v>
      </c>
      <c r="D845" s="30" t="s">
        <v>371</v>
      </c>
      <c r="E845" s="19">
        <v>22500</v>
      </c>
      <c r="F845" s="20"/>
      <c r="G845" s="29"/>
      <c r="H845" s="29"/>
      <c r="I845" s="29"/>
      <c r="J845" s="29" t="s">
        <v>29</v>
      </c>
      <c r="AA845" t="str">
        <f t="shared" si="13"/>
        <v>Farm-to-Market Road</v>
      </c>
    </row>
    <row r="846" ht="45" spans="1:27">
      <c r="A846" s="29" t="s">
        <v>25</v>
      </c>
      <c r="B846" s="29" t="s">
        <v>236</v>
      </c>
      <c r="C846" s="13" t="s">
        <v>368</v>
      </c>
      <c r="D846" s="30" t="s">
        <v>372</v>
      </c>
      <c r="E846" s="19"/>
      <c r="F846" s="20">
        <v>15000</v>
      </c>
      <c r="G846" s="29"/>
      <c r="H846" s="29"/>
      <c r="I846" s="29"/>
      <c r="J846" s="29" t="s">
        <v>29</v>
      </c>
      <c r="AA846" t="str">
        <f t="shared" si="13"/>
        <v>Farm-to-Market Road</v>
      </c>
    </row>
    <row r="847" ht="30" customHeight="1" spans="1:27">
      <c r="A847" s="29" t="s">
        <v>25</v>
      </c>
      <c r="B847" s="29" t="s">
        <v>236</v>
      </c>
      <c r="C847" s="13" t="s">
        <v>368</v>
      </c>
      <c r="D847" s="30" t="s">
        <v>373</v>
      </c>
      <c r="E847" s="19"/>
      <c r="F847" s="20">
        <v>16500</v>
      </c>
      <c r="G847" s="29"/>
      <c r="H847" s="29"/>
      <c r="I847" s="29"/>
      <c r="J847" s="29" t="s">
        <v>29</v>
      </c>
      <c r="AA847" t="str">
        <f t="shared" si="13"/>
        <v>Farm-to-Market Road</v>
      </c>
    </row>
    <row r="848" ht="30" customHeight="1" spans="1:27">
      <c r="A848" s="29" t="s">
        <v>25</v>
      </c>
      <c r="B848" s="29" t="s">
        <v>236</v>
      </c>
      <c r="C848" s="13" t="s">
        <v>368</v>
      </c>
      <c r="D848" s="29" t="s">
        <v>240</v>
      </c>
      <c r="E848" s="23">
        <v>25754.1779</v>
      </c>
      <c r="F848" s="24">
        <v>2364.4606</v>
      </c>
      <c r="G848" s="29"/>
      <c r="H848" s="33"/>
      <c r="I848" s="33"/>
      <c r="J848" s="29" t="s">
        <v>64</v>
      </c>
      <c r="AA848" t="str">
        <f t="shared" si="13"/>
        <v>Rice</v>
      </c>
    </row>
    <row r="849" ht="30" customHeight="1" spans="1:27">
      <c r="A849" s="29" t="s">
        <v>25</v>
      </c>
      <c r="B849" s="29" t="s">
        <v>236</v>
      </c>
      <c r="C849" s="13" t="s">
        <v>368</v>
      </c>
      <c r="D849" s="29" t="s">
        <v>202</v>
      </c>
      <c r="E849" s="19">
        <v>840</v>
      </c>
      <c r="F849" s="20"/>
      <c r="G849" s="29"/>
      <c r="H849" s="33"/>
      <c r="I849" s="29"/>
      <c r="J849" s="29" t="s">
        <v>35</v>
      </c>
      <c r="AA849" t="str">
        <f t="shared" si="13"/>
        <v>High Value Crops (Vegetables/Fruits/Rootcrops)</v>
      </c>
    </row>
    <row r="850" ht="30" customHeight="1" spans="1:27">
      <c r="A850" s="29" t="s">
        <v>25</v>
      </c>
      <c r="B850" s="29" t="s">
        <v>236</v>
      </c>
      <c r="C850" s="13" t="s">
        <v>368</v>
      </c>
      <c r="D850" s="29" t="s">
        <v>90</v>
      </c>
      <c r="E850" s="19"/>
      <c r="F850" s="20"/>
      <c r="G850" s="29"/>
      <c r="H850" s="33"/>
      <c r="I850" s="33"/>
      <c r="J850" s="29" t="s">
        <v>75</v>
      </c>
      <c r="AA850" t="str">
        <f t="shared" si="13"/>
        <v>Corn</v>
      </c>
    </row>
    <row r="851" ht="30" customHeight="1" spans="1:27">
      <c r="A851" s="29" t="s">
        <v>25</v>
      </c>
      <c r="B851" s="29" t="s">
        <v>236</v>
      </c>
      <c r="C851" s="13" t="s">
        <v>368</v>
      </c>
      <c r="D851" s="29" t="s">
        <v>70</v>
      </c>
      <c r="E851" s="23">
        <v>115893.8005</v>
      </c>
      <c r="F851" s="20"/>
      <c r="G851" s="29"/>
      <c r="H851" s="33"/>
      <c r="I851" s="29"/>
      <c r="J851" s="29" t="s">
        <v>64</v>
      </c>
      <c r="AA851" t="str">
        <f t="shared" si="13"/>
        <v>Rice</v>
      </c>
    </row>
    <row r="852" ht="30" customHeight="1" spans="1:27">
      <c r="A852" s="29" t="s">
        <v>25</v>
      </c>
      <c r="B852" s="29" t="s">
        <v>236</v>
      </c>
      <c r="C852" s="13" t="s">
        <v>368</v>
      </c>
      <c r="D852" s="29" t="s">
        <v>71</v>
      </c>
      <c r="E852" s="23">
        <v>7458.0999</v>
      </c>
      <c r="F852" s="20"/>
      <c r="G852" s="29"/>
      <c r="H852" s="33"/>
      <c r="I852" s="29"/>
      <c r="J852" s="29" t="s">
        <v>64</v>
      </c>
      <c r="AA852" t="str">
        <f t="shared" si="13"/>
        <v>Rice</v>
      </c>
    </row>
    <row r="853" ht="30" customHeight="1" spans="1:27">
      <c r="A853" s="29" t="s">
        <v>25</v>
      </c>
      <c r="B853" s="29" t="s">
        <v>236</v>
      </c>
      <c r="C853" s="13" t="s">
        <v>368</v>
      </c>
      <c r="D853" s="29" t="s">
        <v>72</v>
      </c>
      <c r="E853" s="19">
        <v>6189.82</v>
      </c>
      <c r="F853" s="20"/>
      <c r="G853" s="29"/>
      <c r="H853" s="33"/>
      <c r="I853" s="29"/>
      <c r="J853" s="29" t="s">
        <v>35</v>
      </c>
      <c r="AA853" t="str">
        <f t="shared" si="13"/>
        <v>High Value Crops (Vegetables/Fruits/Rootcrops)</v>
      </c>
    </row>
    <row r="854" ht="30" customHeight="1" spans="1:27">
      <c r="A854" s="29" t="s">
        <v>25</v>
      </c>
      <c r="B854" s="29" t="s">
        <v>236</v>
      </c>
      <c r="C854" s="13" t="s">
        <v>368</v>
      </c>
      <c r="D854" s="29" t="s">
        <v>374</v>
      </c>
      <c r="E854" s="19">
        <v>4000</v>
      </c>
      <c r="F854" s="20"/>
      <c r="G854" s="29"/>
      <c r="H854" s="33"/>
      <c r="I854" s="29"/>
      <c r="J854" s="29" t="s">
        <v>35</v>
      </c>
      <c r="AA854" t="str">
        <f t="shared" si="13"/>
        <v>High Value Crops (Vegetables/Fruits/Rootcrops)</v>
      </c>
    </row>
    <row r="855" ht="45" customHeight="1" spans="1:27">
      <c r="A855" s="29" t="s">
        <v>25</v>
      </c>
      <c r="B855" s="29" t="s">
        <v>236</v>
      </c>
      <c r="C855" s="13" t="s">
        <v>368</v>
      </c>
      <c r="D855" s="29" t="s">
        <v>73</v>
      </c>
      <c r="E855" s="19">
        <v>14400</v>
      </c>
      <c r="F855" s="20"/>
      <c r="G855" s="29"/>
      <c r="H855" s="33"/>
      <c r="I855" s="29"/>
      <c r="J855" s="29" t="s">
        <v>64</v>
      </c>
      <c r="AA855" t="str">
        <f t="shared" si="13"/>
        <v>Rice</v>
      </c>
    </row>
    <row r="856" ht="45" customHeight="1" spans="1:27">
      <c r="A856" s="29" t="s">
        <v>25</v>
      </c>
      <c r="B856" s="29" t="s">
        <v>236</v>
      </c>
      <c r="C856" s="13" t="s">
        <v>368</v>
      </c>
      <c r="D856" s="29" t="s">
        <v>375</v>
      </c>
      <c r="E856" s="19">
        <v>8000</v>
      </c>
      <c r="F856" s="20"/>
      <c r="G856" s="29"/>
      <c r="H856" s="33"/>
      <c r="I856" s="29"/>
      <c r="J856" s="29" t="s">
        <v>35</v>
      </c>
      <c r="AA856" t="str">
        <f t="shared" si="13"/>
        <v>High Value Crops (Vegetables/Fruits/Rootcrops)</v>
      </c>
    </row>
    <row r="857" ht="45" customHeight="1" spans="1:27">
      <c r="A857" s="29" t="s">
        <v>25</v>
      </c>
      <c r="B857" s="29" t="s">
        <v>236</v>
      </c>
      <c r="C857" s="13" t="s">
        <v>368</v>
      </c>
      <c r="D857" s="29" t="s">
        <v>36</v>
      </c>
      <c r="E857" s="19">
        <v>15000</v>
      </c>
      <c r="F857" s="20"/>
      <c r="G857" s="29"/>
      <c r="H857" s="33"/>
      <c r="I857" s="29"/>
      <c r="J857" s="29" t="s">
        <v>35</v>
      </c>
      <c r="AA857" t="str">
        <f t="shared" si="13"/>
        <v>High Value Crops (Vegetables/Fruits/Rootcrops)</v>
      </c>
    </row>
    <row r="858" ht="45" customHeight="1" spans="1:27">
      <c r="A858" s="29" t="s">
        <v>25</v>
      </c>
      <c r="B858" s="29" t="s">
        <v>236</v>
      </c>
      <c r="C858" s="13" t="s">
        <v>368</v>
      </c>
      <c r="D858" s="29" t="s">
        <v>74</v>
      </c>
      <c r="E858" s="19"/>
      <c r="F858" s="20"/>
      <c r="G858" s="29"/>
      <c r="H858" s="33"/>
      <c r="I858" s="29"/>
      <c r="J858" s="29" t="s">
        <v>75</v>
      </c>
      <c r="AA858" t="str">
        <f t="shared" si="13"/>
        <v>Corn</v>
      </c>
    </row>
    <row r="859" ht="45" customHeight="1" spans="1:27">
      <c r="A859" s="29" t="s">
        <v>25</v>
      </c>
      <c r="B859" s="29" t="s">
        <v>236</v>
      </c>
      <c r="C859" s="13" t="s">
        <v>376</v>
      </c>
      <c r="D859" s="30" t="s">
        <v>377</v>
      </c>
      <c r="E859" s="19"/>
      <c r="F859" s="20">
        <v>33000</v>
      </c>
      <c r="G859" s="29"/>
      <c r="H859" s="29"/>
      <c r="I859" s="29"/>
      <c r="J859" s="29" t="s">
        <v>29</v>
      </c>
      <c r="AA859" t="str">
        <f t="shared" si="13"/>
        <v>Farm-to-Market Road</v>
      </c>
    </row>
    <row r="860" ht="30" customHeight="1" spans="1:27">
      <c r="A860" s="29" t="s">
        <v>25</v>
      </c>
      <c r="B860" s="29" t="s">
        <v>236</v>
      </c>
      <c r="C860" s="13" t="s">
        <v>376</v>
      </c>
      <c r="D860" s="30" t="s">
        <v>378</v>
      </c>
      <c r="E860" s="19"/>
      <c r="F860" s="20">
        <v>45000</v>
      </c>
      <c r="G860" s="29"/>
      <c r="H860" s="29"/>
      <c r="I860" s="29"/>
      <c r="J860" s="29" t="s">
        <v>29</v>
      </c>
      <c r="AA860" t="str">
        <f t="shared" si="13"/>
        <v>Farm-to-Market Road</v>
      </c>
    </row>
    <row r="861" ht="30" customHeight="1" spans="1:27">
      <c r="A861" s="29" t="s">
        <v>25</v>
      </c>
      <c r="B861" s="29" t="s">
        <v>236</v>
      </c>
      <c r="C861" s="13" t="s">
        <v>376</v>
      </c>
      <c r="D861" s="29" t="s">
        <v>240</v>
      </c>
      <c r="E861" s="23">
        <v>2700.2189</v>
      </c>
      <c r="F861" s="24">
        <v>247.9039</v>
      </c>
      <c r="G861" s="29"/>
      <c r="H861" s="33"/>
      <c r="I861" s="33"/>
      <c r="J861" s="29" t="s">
        <v>64</v>
      </c>
      <c r="AA861" t="str">
        <f t="shared" si="13"/>
        <v>Rice</v>
      </c>
    </row>
    <row r="862" ht="30" customHeight="1" spans="1:27">
      <c r="A862" s="29" t="s">
        <v>25</v>
      </c>
      <c r="B862" s="29" t="s">
        <v>236</v>
      </c>
      <c r="C862" s="13" t="s">
        <v>376</v>
      </c>
      <c r="D862" s="29" t="s">
        <v>171</v>
      </c>
      <c r="E862" s="19">
        <v>36</v>
      </c>
      <c r="F862" s="20"/>
      <c r="G862" s="29"/>
      <c r="H862" s="33"/>
      <c r="I862" s="29"/>
      <c r="J862" s="29" t="s">
        <v>166</v>
      </c>
      <c r="AA862" t="str">
        <f t="shared" si="13"/>
        <v>Various Commodities (4Ks)</v>
      </c>
    </row>
    <row r="863" ht="30" customHeight="1" spans="1:27">
      <c r="A863" s="29" t="s">
        <v>25</v>
      </c>
      <c r="B863" s="29" t="s">
        <v>236</v>
      </c>
      <c r="C863" s="13" t="s">
        <v>376</v>
      </c>
      <c r="D863" s="29" t="s">
        <v>165</v>
      </c>
      <c r="E863" s="19">
        <v>225</v>
      </c>
      <c r="F863" s="20"/>
      <c r="G863" s="29"/>
      <c r="H863" s="33"/>
      <c r="I863" s="29"/>
      <c r="J863" s="29" t="s">
        <v>166</v>
      </c>
      <c r="AA863" t="str">
        <f t="shared" si="13"/>
        <v>Various Commodities (4Ks)</v>
      </c>
    </row>
    <row r="864" spans="1:27">
      <c r="A864" s="29" t="s">
        <v>25</v>
      </c>
      <c r="B864" s="29" t="s">
        <v>236</v>
      </c>
      <c r="C864" s="13" t="s">
        <v>376</v>
      </c>
      <c r="D864" s="29" t="s">
        <v>172</v>
      </c>
      <c r="E864" s="19">
        <v>25</v>
      </c>
      <c r="F864" s="20"/>
      <c r="G864" s="29"/>
      <c r="H864" s="33"/>
      <c r="I864" s="29"/>
      <c r="J864" s="29" t="s">
        <v>166</v>
      </c>
      <c r="AA864" t="str">
        <f t="shared" si="13"/>
        <v>Various Commodities (4Ks)</v>
      </c>
    </row>
    <row r="865" ht="30" spans="1:27">
      <c r="A865" s="29" t="s">
        <v>25</v>
      </c>
      <c r="B865" s="29" t="s">
        <v>236</v>
      </c>
      <c r="C865" s="13" t="s">
        <v>376</v>
      </c>
      <c r="D865" s="29" t="s">
        <v>167</v>
      </c>
      <c r="E865" s="19">
        <v>300</v>
      </c>
      <c r="F865" s="20"/>
      <c r="G865" s="29"/>
      <c r="H865" s="33"/>
      <c r="I865" s="29"/>
      <c r="J865" s="29" t="s">
        <v>166</v>
      </c>
      <c r="AA865" t="str">
        <f t="shared" si="13"/>
        <v>Various Commodities (4Ks)</v>
      </c>
    </row>
    <row r="866" ht="30" customHeight="1" spans="1:27">
      <c r="A866" s="29" t="s">
        <v>25</v>
      </c>
      <c r="B866" s="29" t="s">
        <v>236</v>
      </c>
      <c r="C866" s="13" t="s">
        <v>376</v>
      </c>
      <c r="D866" s="29" t="s">
        <v>90</v>
      </c>
      <c r="E866" s="19"/>
      <c r="F866" s="20"/>
      <c r="G866" s="29"/>
      <c r="H866" s="33"/>
      <c r="I866" s="33"/>
      <c r="J866" s="29" t="s">
        <v>75</v>
      </c>
      <c r="AA866" t="str">
        <f t="shared" si="13"/>
        <v>Corn</v>
      </c>
    </row>
    <row r="867" ht="30" customHeight="1" spans="1:27">
      <c r="A867" s="29" t="s">
        <v>25</v>
      </c>
      <c r="B867" s="29" t="s">
        <v>236</v>
      </c>
      <c r="C867" s="13" t="s">
        <v>376</v>
      </c>
      <c r="D867" s="29" t="s">
        <v>70</v>
      </c>
      <c r="E867" s="23">
        <v>12150.9852</v>
      </c>
      <c r="F867" s="20"/>
      <c r="G867" s="29"/>
      <c r="H867" s="33"/>
      <c r="I867" s="29"/>
      <c r="J867" s="29" t="s">
        <v>64</v>
      </c>
      <c r="AA867" t="str">
        <f t="shared" si="13"/>
        <v>Rice</v>
      </c>
    </row>
    <row r="868" ht="30" customHeight="1" spans="1:27">
      <c r="A868" s="29" t="s">
        <v>25</v>
      </c>
      <c r="B868" s="29" t="s">
        <v>236</v>
      </c>
      <c r="C868" s="13" t="s">
        <v>376</v>
      </c>
      <c r="D868" s="29" t="s">
        <v>91</v>
      </c>
      <c r="E868" s="19">
        <v>1000</v>
      </c>
      <c r="F868" s="20"/>
      <c r="G868" s="29"/>
      <c r="H868" s="33"/>
      <c r="I868" s="29"/>
      <c r="J868" s="29" t="s">
        <v>75</v>
      </c>
      <c r="AA868" t="str">
        <f t="shared" si="13"/>
        <v>Corn</v>
      </c>
    </row>
    <row r="869" ht="30" customHeight="1" spans="1:27">
      <c r="A869" s="29" t="s">
        <v>25</v>
      </c>
      <c r="B869" s="29" t="s">
        <v>236</v>
      </c>
      <c r="C869" s="13" t="s">
        <v>376</v>
      </c>
      <c r="D869" s="29" t="s">
        <v>71</v>
      </c>
      <c r="E869" s="23">
        <v>781.9509</v>
      </c>
      <c r="F869" s="20"/>
      <c r="G869" s="29"/>
      <c r="H869" s="33"/>
      <c r="I869" s="29"/>
      <c r="J869" s="29" t="s">
        <v>64</v>
      </c>
      <c r="AA869" t="str">
        <f t="shared" si="13"/>
        <v>Rice</v>
      </c>
    </row>
    <row r="870" ht="30" customHeight="1" spans="1:27">
      <c r="A870" s="29" t="s">
        <v>25</v>
      </c>
      <c r="B870" s="29" t="s">
        <v>236</v>
      </c>
      <c r="C870" s="13" t="s">
        <v>376</v>
      </c>
      <c r="D870" s="29" t="s">
        <v>174</v>
      </c>
      <c r="E870" s="19">
        <v>10</v>
      </c>
      <c r="F870" s="20"/>
      <c r="G870" s="29"/>
      <c r="H870" s="33"/>
      <c r="I870" s="29"/>
      <c r="J870" s="29" t="s">
        <v>166</v>
      </c>
      <c r="AA870" t="str">
        <f t="shared" si="13"/>
        <v>Various Commodities (4Ks)</v>
      </c>
    </row>
    <row r="871" ht="30" customHeight="1" spans="1:27">
      <c r="A871" s="29" t="s">
        <v>25</v>
      </c>
      <c r="B871" s="29" t="s">
        <v>236</v>
      </c>
      <c r="C871" s="13" t="s">
        <v>376</v>
      </c>
      <c r="D871" s="29" t="s">
        <v>175</v>
      </c>
      <c r="E871" s="19">
        <v>69.82</v>
      </c>
      <c r="F871" s="20"/>
      <c r="G871" s="29"/>
      <c r="H871" s="33"/>
      <c r="I871" s="29"/>
      <c r="J871" s="29" t="s">
        <v>166</v>
      </c>
      <c r="AA871" t="str">
        <f t="shared" si="13"/>
        <v>Various Commodities (4Ks)</v>
      </c>
    </row>
    <row r="872" ht="30" customHeight="1" spans="1:27">
      <c r="A872" s="29" t="s">
        <v>25</v>
      </c>
      <c r="B872" s="29" t="s">
        <v>236</v>
      </c>
      <c r="C872" s="13" t="s">
        <v>376</v>
      </c>
      <c r="D872" s="29" t="s">
        <v>147</v>
      </c>
      <c r="E872" s="19">
        <v>4500</v>
      </c>
      <c r="F872" s="20"/>
      <c r="G872" s="29"/>
      <c r="H872" s="33"/>
      <c r="I872" s="29"/>
      <c r="J872" s="29" t="s">
        <v>75</v>
      </c>
      <c r="AA872" t="str">
        <f t="shared" si="13"/>
        <v>Corn</v>
      </c>
    </row>
    <row r="873" spans="1:27">
      <c r="A873" s="29" t="s">
        <v>25</v>
      </c>
      <c r="B873" s="29" t="s">
        <v>236</v>
      </c>
      <c r="C873" s="13" t="s">
        <v>376</v>
      </c>
      <c r="D873" s="29" t="s">
        <v>177</v>
      </c>
      <c r="E873" s="19">
        <v>20</v>
      </c>
      <c r="F873" s="20"/>
      <c r="G873" s="29"/>
      <c r="H873" s="33"/>
      <c r="I873" s="29"/>
      <c r="J873" s="29" t="s">
        <v>166</v>
      </c>
      <c r="AA873" t="str">
        <f t="shared" si="13"/>
        <v>Various Commodities (4Ks)</v>
      </c>
    </row>
    <row r="874" ht="30" spans="1:27">
      <c r="A874" s="29" t="s">
        <v>25</v>
      </c>
      <c r="B874" s="29" t="s">
        <v>236</v>
      </c>
      <c r="C874" s="13" t="s">
        <v>376</v>
      </c>
      <c r="D874" s="29" t="s">
        <v>99</v>
      </c>
      <c r="E874" s="19">
        <v>6215</v>
      </c>
      <c r="F874" s="20"/>
      <c r="G874" s="29"/>
      <c r="H874" s="33"/>
      <c r="I874" s="29"/>
      <c r="J874" s="29" t="s">
        <v>75</v>
      </c>
      <c r="AA874" t="str">
        <f t="shared" si="13"/>
        <v>Corn</v>
      </c>
    </row>
    <row r="875" ht="30" spans="1:27">
      <c r="A875" s="29" t="s">
        <v>25</v>
      </c>
      <c r="B875" s="29" t="s">
        <v>236</v>
      </c>
      <c r="C875" s="13" t="s">
        <v>376</v>
      </c>
      <c r="D875" s="29" t="s">
        <v>249</v>
      </c>
      <c r="E875" s="19">
        <v>1000</v>
      </c>
      <c r="F875" s="20"/>
      <c r="G875" s="29"/>
      <c r="H875" s="33"/>
      <c r="I875" s="29"/>
      <c r="J875" s="29" t="s">
        <v>75</v>
      </c>
      <c r="AA875" t="str">
        <f t="shared" si="13"/>
        <v>Corn</v>
      </c>
    </row>
    <row r="876" spans="1:27">
      <c r="A876" s="29" t="s">
        <v>25</v>
      </c>
      <c r="B876" s="29" t="s">
        <v>236</v>
      </c>
      <c r="C876" s="13" t="s">
        <v>376</v>
      </c>
      <c r="D876" s="29" t="s">
        <v>180</v>
      </c>
      <c r="E876" s="19">
        <v>300</v>
      </c>
      <c r="F876" s="20"/>
      <c r="G876" s="29"/>
      <c r="H876" s="33"/>
      <c r="I876" s="29"/>
      <c r="J876" s="29" t="s">
        <v>166</v>
      </c>
      <c r="AA876" t="str">
        <f t="shared" si="13"/>
        <v>Various Commodities (4Ks)</v>
      </c>
    </row>
    <row r="877" spans="1:27">
      <c r="A877" s="29" t="s">
        <v>25</v>
      </c>
      <c r="B877" s="29" t="s">
        <v>236</v>
      </c>
      <c r="C877" s="13" t="s">
        <v>376</v>
      </c>
      <c r="D877" s="29" t="s">
        <v>181</v>
      </c>
      <c r="E877" s="19">
        <v>30</v>
      </c>
      <c r="F877" s="20"/>
      <c r="G877" s="29"/>
      <c r="H877" s="33"/>
      <c r="I877" s="29"/>
      <c r="J877" s="29" t="s">
        <v>166</v>
      </c>
      <c r="AA877" t="str">
        <f t="shared" si="13"/>
        <v>Various Commodities (4Ks)</v>
      </c>
    </row>
    <row r="878" ht="30" spans="1:27">
      <c r="A878" s="29" t="s">
        <v>25</v>
      </c>
      <c r="B878" s="29" t="s">
        <v>236</v>
      </c>
      <c r="C878" s="13" t="s">
        <v>376</v>
      </c>
      <c r="D878" s="29" t="s">
        <v>103</v>
      </c>
      <c r="E878" s="19"/>
      <c r="F878" s="20"/>
      <c r="G878" s="29"/>
      <c r="H878" s="33"/>
      <c r="I878" s="29"/>
      <c r="J878" s="29" t="s">
        <v>75</v>
      </c>
      <c r="AA878" t="str">
        <f t="shared" si="13"/>
        <v>Corn</v>
      </c>
    </row>
    <row r="879" ht="30" customHeight="1" spans="1:27">
      <c r="A879" s="29" t="s">
        <v>25</v>
      </c>
      <c r="B879" s="29" t="s">
        <v>236</v>
      </c>
      <c r="C879" s="13" t="s">
        <v>376</v>
      </c>
      <c r="D879" s="29" t="s">
        <v>74</v>
      </c>
      <c r="E879" s="19"/>
      <c r="F879" s="20"/>
      <c r="G879" s="29"/>
      <c r="H879" s="33"/>
      <c r="I879" s="29"/>
      <c r="J879" s="29" t="s">
        <v>75</v>
      </c>
      <c r="AA879" t="str">
        <f t="shared" si="13"/>
        <v>Corn</v>
      </c>
    </row>
    <row r="880" ht="30" customHeight="1" spans="1:27">
      <c r="A880" s="29" t="s">
        <v>25</v>
      </c>
      <c r="B880" s="29" t="s">
        <v>236</v>
      </c>
      <c r="C880" s="13" t="s">
        <v>379</v>
      </c>
      <c r="D880" s="30" t="s">
        <v>380</v>
      </c>
      <c r="E880" s="19"/>
      <c r="F880" s="20">
        <v>28950</v>
      </c>
      <c r="G880" s="29"/>
      <c r="H880" s="29"/>
      <c r="I880" s="29"/>
      <c r="J880" s="29" t="s">
        <v>29</v>
      </c>
      <c r="AA880" t="str">
        <f t="shared" si="13"/>
        <v>Farm-to-Market Road</v>
      </c>
    </row>
    <row r="881" ht="30" customHeight="1" spans="1:27">
      <c r="A881" s="29" t="s">
        <v>25</v>
      </c>
      <c r="B881" s="29" t="s">
        <v>236</v>
      </c>
      <c r="C881" s="13" t="s">
        <v>379</v>
      </c>
      <c r="D881" s="29" t="s">
        <v>240</v>
      </c>
      <c r="E881" s="23">
        <v>4524.7073</v>
      </c>
      <c r="F881" s="24">
        <v>415.408</v>
      </c>
      <c r="G881" s="29"/>
      <c r="H881" s="33"/>
      <c r="I881" s="33"/>
      <c r="J881" s="29" t="s">
        <v>64</v>
      </c>
      <c r="AA881" t="str">
        <f t="shared" si="13"/>
        <v>Rice</v>
      </c>
    </row>
    <row r="882" ht="30" customHeight="1" spans="1:27">
      <c r="A882" s="29" t="s">
        <v>25</v>
      </c>
      <c r="B882" s="29" t="s">
        <v>236</v>
      </c>
      <c r="C882" s="13" t="s">
        <v>379</v>
      </c>
      <c r="D882" s="29" t="s">
        <v>90</v>
      </c>
      <c r="E882" s="19"/>
      <c r="F882" s="20"/>
      <c r="G882" s="29"/>
      <c r="H882" s="33"/>
      <c r="I882" s="33"/>
      <c r="J882" s="29" t="s">
        <v>75</v>
      </c>
      <c r="AA882" t="str">
        <f t="shared" si="13"/>
        <v>Corn</v>
      </c>
    </row>
    <row r="883" ht="45" customHeight="1" spans="1:27">
      <c r="A883" s="29" t="s">
        <v>25</v>
      </c>
      <c r="B883" s="29" t="s">
        <v>236</v>
      </c>
      <c r="C883" s="13" t="s">
        <v>379</v>
      </c>
      <c r="D883" s="29" t="s">
        <v>70</v>
      </c>
      <c r="E883" s="23">
        <v>20361.1828</v>
      </c>
      <c r="F883" s="20"/>
      <c r="G883" s="29"/>
      <c r="H883" s="33"/>
      <c r="I883" s="29"/>
      <c r="J883" s="29" t="s">
        <v>64</v>
      </c>
      <c r="AA883" t="str">
        <f t="shared" si="13"/>
        <v>Rice</v>
      </c>
    </row>
    <row r="884" spans="1:27">
      <c r="A884" s="29" t="s">
        <v>25</v>
      </c>
      <c r="B884" s="29" t="s">
        <v>236</v>
      </c>
      <c r="C884" s="13" t="s">
        <v>379</v>
      </c>
      <c r="D884" s="29" t="s">
        <v>91</v>
      </c>
      <c r="E884" s="19">
        <v>1000</v>
      </c>
      <c r="F884" s="20"/>
      <c r="G884" s="29"/>
      <c r="H884" s="33"/>
      <c r="I884" s="29"/>
      <c r="J884" s="29" t="s">
        <v>75</v>
      </c>
      <c r="AA884" t="str">
        <f t="shared" si="13"/>
        <v>Corn</v>
      </c>
    </row>
    <row r="885" ht="30" customHeight="1" spans="1:27">
      <c r="A885" s="29" t="s">
        <v>25</v>
      </c>
      <c r="B885" s="29" t="s">
        <v>236</v>
      </c>
      <c r="C885" s="13" t="s">
        <v>379</v>
      </c>
      <c r="D885" s="29" t="s">
        <v>71</v>
      </c>
      <c r="E885" s="23">
        <v>1310.3008</v>
      </c>
      <c r="F885" s="20"/>
      <c r="G885" s="29"/>
      <c r="H885" s="33"/>
      <c r="I885" s="29"/>
      <c r="J885" s="29" t="s">
        <v>64</v>
      </c>
      <c r="AA885" t="str">
        <f t="shared" si="13"/>
        <v>Rice</v>
      </c>
    </row>
    <row r="886" spans="1:27">
      <c r="A886" s="29" t="s">
        <v>25</v>
      </c>
      <c r="B886" s="29" t="s">
        <v>236</v>
      </c>
      <c r="C886" s="13" t="s">
        <v>379</v>
      </c>
      <c r="D886" s="29" t="s">
        <v>147</v>
      </c>
      <c r="E886" s="19">
        <v>4500</v>
      </c>
      <c r="F886" s="20"/>
      <c r="G886" s="29"/>
      <c r="H886" s="33"/>
      <c r="I886" s="29"/>
      <c r="J886" s="29" t="s">
        <v>75</v>
      </c>
      <c r="AA886" t="str">
        <f t="shared" si="13"/>
        <v>Corn</v>
      </c>
    </row>
    <row r="887" ht="30" spans="1:27">
      <c r="A887" s="29" t="s">
        <v>25</v>
      </c>
      <c r="B887" s="29" t="s">
        <v>236</v>
      </c>
      <c r="C887" s="13" t="s">
        <v>379</v>
      </c>
      <c r="D887" s="29" t="s">
        <v>381</v>
      </c>
      <c r="E887" s="19">
        <v>10550</v>
      </c>
      <c r="F887" s="20"/>
      <c r="G887" s="29"/>
      <c r="H887" s="33"/>
      <c r="I887" s="29"/>
      <c r="J887" s="29" t="s">
        <v>67</v>
      </c>
      <c r="AA887" t="str">
        <f t="shared" si="13"/>
        <v>Rice</v>
      </c>
    </row>
    <row r="888" ht="30" customHeight="1" spans="1:27">
      <c r="A888" s="29" t="s">
        <v>25</v>
      </c>
      <c r="B888" s="29" t="s">
        <v>236</v>
      </c>
      <c r="C888" s="13" t="s">
        <v>379</v>
      </c>
      <c r="D888" s="29" t="s">
        <v>136</v>
      </c>
      <c r="E888" s="19">
        <v>790.83</v>
      </c>
      <c r="F888" s="20"/>
      <c r="G888" s="29"/>
      <c r="H888" s="33"/>
      <c r="I888" s="29"/>
      <c r="J888" s="29" t="s">
        <v>75</v>
      </c>
      <c r="AA888" t="str">
        <f t="shared" si="13"/>
        <v>Corn</v>
      </c>
    </row>
    <row r="889" ht="30" customHeight="1" spans="1:27">
      <c r="A889" s="29" t="s">
        <v>25</v>
      </c>
      <c r="B889" s="29" t="s">
        <v>236</v>
      </c>
      <c r="C889" s="13" t="s">
        <v>379</v>
      </c>
      <c r="D889" s="29" t="s">
        <v>102</v>
      </c>
      <c r="E889" s="19">
        <v>200</v>
      </c>
      <c r="F889" s="20"/>
      <c r="G889" s="29"/>
      <c r="H889" s="33"/>
      <c r="I889" s="29"/>
      <c r="J889" s="29" t="s">
        <v>75</v>
      </c>
      <c r="AA889" t="str">
        <f t="shared" si="13"/>
        <v>Corn</v>
      </c>
    </row>
    <row r="890" ht="30" spans="1:27">
      <c r="A890" s="29" t="s">
        <v>25</v>
      </c>
      <c r="B890" s="29" t="s">
        <v>236</v>
      </c>
      <c r="C890" s="13" t="s">
        <v>379</v>
      </c>
      <c r="D890" s="29" t="s">
        <v>103</v>
      </c>
      <c r="E890" s="19"/>
      <c r="F890" s="20"/>
      <c r="G890" s="29"/>
      <c r="H890" s="33"/>
      <c r="I890" s="29"/>
      <c r="J890" s="29" t="s">
        <v>75</v>
      </c>
      <c r="AA890" t="str">
        <f t="shared" si="13"/>
        <v>Corn</v>
      </c>
    </row>
    <row r="891" ht="30" customHeight="1" spans="1:27">
      <c r="A891" s="29" t="s">
        <v>25</v>
      </c>
      <c r="B891" s="29" t="s">
        <v>236</v>
      </c>
      <c r="C891" s="13" t="s">
        <v>379</v>
      </c>
      <c r="D891" s="29" t="s">
        <v>74</v>
      </c>
      <c r="E891" s="19"/>
      <c r="F891" s="20"/>
      <c r="G891" s="29"/>
      <c r="H891" s="33"/>
      <c r="I891" s="29"/>
      <c r="J891" s="29" t="s">
        <v>75</v>
      </c>
      <c r="AA891" t="str">
        <f t="shared" si="13"/>
        <v>Corn</v>
      </c>
    </row>
    <row r="892" ht="30" spans="1:27">
      <c r="A892" s="29" t="s">
        <v>25</v>
      </c>
      <c r="B892" s="29" t="s">
        <v>236</v>
      </c>
      <c r="C892" s="13" t="s">
        <v>382</v>
      </c>
      <c r="D892" s="30" t="s">
        <v>383</v>
      </c>
      <c r="E892" s="19"/>
      <c r="F892" s="20">
        <v>15000</v>
      </c>
      <c r="G892" s="29"/>
      <c r="H892" s="29"/>
      <c r="I892" s="29"/>
      <c r="J892" s="29" t="s">
        <v>29</v>
      </c>
      <c r="AA892" t="str">
        <f t="shared" si="13"/>
        <v>Farm-to-Market Road</v>
      </c>
    </row>
    <row r="893" ht="30" customHeight="1" spans="1:27">
      <c r="A893" s="29" t="s">
        <v>25</v>
      </c>
      <c r="B893" s="29" t="s">
        <v>236</v>
      </c>
      <c r="C893" s="13" t="s">
        <v>382</v>
      </c>
      <c r="D893" s="30" t="s">
        <v>384</v>
      </c>
      <c r="E893" s="19">
        <v>22500</v>
      </c>
      <c r="F893" s="20"/>
      <c r="G893" s="29"/>
      <c r="H893" s="29"/>
      <c r="I893" s="29"/>
      <c r="J893" s="29" t="s">
        <v>29</v>
      </c>
      <c r="AA893" t="str">
        <f t="shared" si="13"/>
        <v>Farm-to-Market Road</v>
      </c>
    </row>
    <row r="894" ht="45" spans="1:27">
      <c r="A894" s="29" t="s">
        <v>25</v>
      </c>
      <c r="B894" s="29" t="s">
        <v>236</v>
      </c>
      <c r="C894" s="13" t="s">
        <v>382</v>
      </c>
      <c r="D894" s="30" t="s">
        <v>385</v>
      </c>
      <c r="E894" s="19"/>
      <c r="F894" s="20">
        <v>24750</v>
      </c>
      <c r="G894" s="29"/>
      <c r="H894" s="29"/>
      <c r="I894" s="29"/>
      <c r="J894" s="29" t="s">
        <v>29</v>
      </c>
      <c r="AA894" t="str">
        <f t="shared" si="13"/>
        <v>Farm-to-Market Road</v>
      </c>
    </row>
    <row r="895" ht="30" customHeight="1" spans="1:27">
      <c r="A895" s="29" t="s">
        <v>25</v>
      </c>
      <c r="B895" s="29" t="s">
        <v>236</v>
      </c>
      <c r="C895" s="13" t="s">
        <v>382</v>
      </c>
      <c r="D895" s="29" t="s">
        <v>202</v>
      </c>
      <c r="E895" s="19">
        <v>80</v>
      </c>
      <c r="F895" s="20"/>
      <c r="G895" s="29"/>
      <c r="H895" s="33"/>
      <c r="I895" s="29"/>
      <c r="J895" s="29" t="s">
        <v>35</v>
      </c>
      <c r="AA895" t="str">
        <f t="shared" si="13"/>
        <v>High Value Crops (Vegetables/Fruits/Rootcrops)</v>
      </c>
    </row>
    <row r="896" ht="30" customHeight="1" spans="1:27">
      <c r="A896" s="29" t="s">
        <v>25</v>
      </c>
      <c r="B896" s="29" t="s">
        <v>236</v>
      </c>
      <c r="C896" s="13" t="s">
        <v>382</v>
      </c>
      <c r="D896" s="29" t="s">
        <v>90</v>
      </c>
      <c r="E896" s="19"/>
      <c r="F896" s="20"/>
      <c r="G896" s="29"/>
      <c r="H896" s="33"/>
      <c r="I896" s="33"/>
      <c r="J896" s="29" t="s">
        <v>75</v>
      </c>
      <c r="AA896" t="str">
        <f t="shared" si="13"/>
        <v>Corn</v>
      </c>
    </row>
    <row r="897" spans="1:27">
      <c r="A897" s="29" t="s">
        <v>25</v>
      </c>
      <c r="B897" s="29" t="s">
        <v>236</v>
      </c>
      <c r="C897" s="13" t="s">
        <v>382</v>
      </c>
      <c r="D897" s="29" t="s">
        <v>72</v>
      </c>
      <c r="E897" s="19">
        <v>412.65</v>
      </c>
      <c r="F897" s="20"/>
      <c r="G897" s="29"/>
      <c r="H897" s="33"/>
      <c r="I897" s="29"/>
      <c r="J897" s="29" t="s">
        <v>35</v>
      </c>
      <c r="AA897" t="str">
        <f t="shared" si="13"/>
        <v>High Value Crops (Vegetables/Fruits/Rootcrops)</v>
      </c>
    </row>
    <row r="898" ht="30" customHeight="1" spans="1:27">
      <c r="A898" s="29" t="s">
        <v>25</v>
      </c>
      <c r="B898" s="29" t="s">
        <v>236</v>
      </c>
      <c r="C898" s="13" t="s">
        <v>382</v>
      </c>
      <c r="D898" s="29" t="s">
        <v>386</v>
      </c>
      <c r="E898" s="19">
        <v>125000</v>
      </c>
      <c r="F898" s="20"/>
      <c r="G898" s="29"/>
      <c r="H898" s="33"/>
      <c r="I898" s="29"/>
      <c r="J898" s="29" t="s">
        <v>35</v>
      </c>
      <c r="AA898" t="str">
        <f t="shared" si="13"/>
        <v>High Value Crops (Vegetables/Fruits/Rootcrops)</v>
      </c>
    </row>
    <row r="899" ht="30" customHeight="1" spans="1:27">
      <c r="A899" s="29" t="s">
        <v>25</v>
      </c>
      <c r="B899" s="29" t="s">
        <v>236</v>
      </c>
      <c r="C899" s="13" t="s">
        <v>382</v>
      </c>
      <c r="D899" s="29" t="s">
        <v>387</v>
      </c>
      <c r="E899" s="19">
        <v>500</v>
      </c>
      <c r="F899" s="20"/>
      <c r="G899" s="29"/>
      <c r="H899" s="33"/>
      <c r="I899" s="29"/>
      <c r="J899" s="29" t="s">
        <v>35</v>
      </c>
      <c r="AA899" t="str">
        <f t="shared" si="13"/>
        <v>High Value Crops (Vegetables/Fruits/Rootcrops)</v>
      </c>
    </row>
    <row r="900" ht="30" customHeight="1" spans="1:27">
      <c r="A900" s="29" t="s">
        <v>25</v>
      </c>
      <c r="B900" s="29" t="s">
        <v>236</v>
      </c>
      <c r="C900" s="13" t="s">
        <v>382</v>
      </c>
      <c r="D900" s="29" t="s">
        <v>123</v>
      </c>
      <c r="E900" s="19">
        <v>2450</v>
      </c>
      <c r="F900" s="20"/>
      <c r="G900" s="29"/>
      <c r="H900" s="33"/>
      <c r="I900" s="29"/>
      <c r="J900" s="29" t="s">
        <v>64</v>
      </c>
      <c r="AA900" t="str">
        <f t="shared" si="13"/>
        <v>Rice</v>
      </c>
    </row>
    <row r="901" ht="30" customHeight="1" spans="1:27">
      <c r="A901" s="29" t="s">
        <v>25</v>
      </c>
      <c r="B901" s="29" t="s">
        <v>236</v>
      </c>
      <c r="C901" s="13" t="s">
        <v>382</v>
      </c>
      <c r="D901" s="29" t="s">
        <v>388</v>
      </c>
      <c r="E901" s="19">
        <v>1000</v>
      </c>
      <c r="F901" s="20"/>
      <c r="G901" s="29"/>
      <c r="H901" s="33"/>
      <c r="I901" s="29"/>
      <c r="J901" s="29" t="s">
        <v>35</v>
      </c>
      <c r="AA901" t="str">
        <f t="shared" si="13"/>
        <v>High Value Crops (Vegetables/Fruits/Rootcrops)</v>
      </c>
    </row>
    <row r="902" ht="30" customHeight="1" spans="1:27">
      <c r="A902" s="29" t="s">
        <v>25</v>
      </c>
      <c r="B902" s="29" t="s">
        <v>236</v>
      </c>
      <c r="C902" s="13" t="s">
        <v>382</v>
      </c>
      <c r="D902" s="29" t="s">
        <v>36</v>
      </c>
      <c r="E902" s="19">
        <v>1000</v>
      </c>
      <c r="F902" s="20"/>
      <c r="G902" s="29"/>
      <c r="H902" s="33"/>
      <c r="I902" s="29"/>
      <c r="J902" s="29" t="s">
        <v>35</v>
      </c>
      <c r="AA902" t="str">
        <f t="shared" si="13"/>
        <v>High Value Crops (Vegetables/Fruits/Rootcrops)</v>
      </c>
    </row>
    <row r="903" spans="1:27">
      <c r="A903" s="29" t="s">
        <v>25</v>
      </c>
      <c r="B903" s="29" t="s">
        <v>236</v>
      </c>
      <c r="C903" s="13" t="s">
        <v>389</v>
      </c>
      <c r="D903" s="29" t="s">
        <v>77</v>
      </c>
      <c r="E903" s="19">
        <v>1200</v>
      </c>
      <c r="F903" s="20"/>
      <c r="G903" s="29"/>
      <c r="H903" s="33"/>
      <c r="I903" s="29"/>
      <c r="J903" s="29" t="s">
        <v>75</v>
      </c>
      <c r="AA903" t="str">
        <f t="shared" si="13"/>
        <v>Corn</v>
      </c>
    </row>
    <row r="904" spans="1:27">
      <c r="A904" s="29" t="s">
        <v>25</v>
      </c>
      <c r="B904" s="29" t="s">
        <v>236</v>
      </c>
      <c r="C904" s="13" t="s">
        <v>389</v>
      </c>
      <c r="D904" s="29" t="s">
        <v>78</v>
      </c>
      <c r="E904" s="19">
        <v>240</v>
      </c>
      <c r="F904" s="20"/>
      <c r="G904" s="29"/>
      <c r="H904" s="33"/>
      <c r="I904" s="29"/>
      <c r="J904" s="29" t="s">
        <v>75</v>
      </c>
      <c r="AA904" t="str">
        <f t="shared" si="13"/>
        <v>Corn</v>
      </c>
    </row>
    <row r="905" ht="45" spans="1:27">
      <c r="A905" s="29" t="s">
        <v>25</v>
      </c>
      <c r="B905" s="29" t="s">
        <v>236</v>
      </c>
      <c r="C905" s="13" t="s">
        <v>389</v>
      </c>
      <c r="D905" s="30" t="s">
        <v>390</v>
      </c>
      <c r="E905" s="19"/>
      <c r="F905" s="20">
        <v>16500</v>
      </c>
      <c r="G905" s="29"/>
      <c r="H905" s="29"/>
      <c r="I905" s="29"/>
      <c r="J905" s="29" t="s">
        <v>29</v>
      </c>
      <c r="AA905" t="str">
        <f t="shared" si="13"/>
        <v>Farm-to-Market Road</v>
      </c>
    </row>
    <row r="906" ht="45" spans="1:27">
      <c r="A906" s="29" t="s">
        <v>25</v>
      </c>
      <c r="B906" s="29" t="s">
        <v>236</v>
      </c>
      <c r="C906" s="13" t="s">
        <v>389</v>
      </c>
      <c r="D906" s="30" t="s">
        <v>391</v>
      </c>
      <c r="E906" s="19"/>
      <c r="F906" s="20">
        <v>15000</v>
      </c>
      <c r="G906" s="29"/>
      <c r="H906" s="29"/>
      <c r="I906" s="29"/>
      <c r="J906" s="29" t="s">
        <v>29</v>
      </c>
      <c r="AA906" t="str">
        <f t="shared" ref="AA906:AA969" si="14">_xlfn.IFS(J906="DA-FMRDP","Farm-to-Market Road",J906="DA-RFO2 RICE","Rice",J906="DA-RFO2 Rice Program","Rice",J906="DA-RFO2 CORN","Corn",J906="DA-RFO2 Corn Program","Corn",J906="DA-RFO2 HVCDP","High Value Crops (Vegetables/Fruits/Rootcrops)",J906="DA-RFO2 HVCDP Export","High Value Export Crops (Dragon Fruit/Ube/Okra/Banana)",J906="DA-RFO2 HVCDP Coffee","Coffee (HVCDP)",J906="DA-RFO2 LIVESTOCK","Livestock (Cattle/Carabao/Swine/Poultry)",J906="DA-RFO2 SAAD","Various Commodities (SAAD)",J906="DA-RFO2 4K","Various Commodities (4Ks)",J906="DA-RFO2 4KS","Various Commodities (4Ks)",J906="DA-RFO2 HALAL","Halal Food Products",J906="DA-RFO2 OAP","Organic Agriculture",J906="DA-RFO2 NUPAP","Vegetables (NUPAP/Urban Agri)",TRUE,IF(ISNUMBER(SEARCH("FMR",D906)),"Farm-to-Market Road",IF(ISNUMBER(SEARCH("RICE",D906)),"Rice",IF(ISNUMBER(SEARCH("CORN",D906)),"Corn",IF(ISNUMBER(SEARCH("HVCDP COFFEE",D906)),"Coffee (HVCDP)",IF(ISNUMBER(SEARCH("HVCDP EXPORT",D906)),"High Value Export Crops (Dragon Fruit/Ube/Okra/Banana)",IF(ISNUMBER(SEARCH("HVCDP",D906)),"High Value Crops (Vegetables/Fruits/Rootcrops)",IF(ISNUMBER(SEARCH("LIVESTOCK",D906)),"Livestock (Cattle/Carabao/Swine/Poultry)",IF(ISNUMBER(SEARCH("SAAD",D906)),"Various Commodities (SAAD)",IF(ISNUMBER(SEARCH("4KS",D906)),"Various Commodities (4Ks)",IF(ISNUMBER(SEARCH("4K",D906)),"Various Commodities (4Ks)",IF(ISNUMBER(SEARCH("HALAL",D906)),"Halal Food Products",IF(ISNUMBER(SEARCH("OAP",D906)),"Organic Agriculture",IF(ISNUMBER(SEARCH("NUPAP",D906)),"Vegetables (NUPAP/Urban Agri)",""))))))))))))))</f>
        <v>Farm-to-Market Road</v>
      </c>
    </row>
    <row r="907" ht="30" customHeight="1" spans="1:27">
      <c r="A907" s="29" t="s">
        <v>25</v>
      </c>
      <c r="B907" s="29" t="s">
        <v>236</v>
      </c>
      <c r="C907" s="13" t="s">
        <v>389</v>
      </c>
      <c r="D907" s="29" t="s">
        <v>240</v>
      </c>
      <c r="E907" s="23">
        <v>6164.094</v>
      </c>
      <c r="F907" s="24">
        <v>565.9182</v>
      </c>
      <c r="G907" s="29"/>
      <c r="H907" s="33"/>
      <c r="I907" s="33"/>
      <c r="J907" s="29" t="s">
        <v>64</v>
      </c>
      <c r="AA907" t="str">
        <f t="shared" si="14"/>
        <v>Rice</v>
      </c>
    </row>
    <row r="908" ht="30" customHeight="1" spans="1:27">
      <c r="A908" s="29" t="s">
        <v>25</v>
      </c>
      <c r="B908" s="29" t="s">
        <v>236</v>
      </c>
      <c r="C908" s="13" t="s">
        <v>389</v>
      </c>
      <c r="D908" s="29" t="s">
        <v>90</v>
      </c>
      <c r="E908" s="19"/>
      <c r="F908" s="20"/>
      <c r="G908" s="29"/>
      <c r="H908" s="33"/>
      <c r="I908" s="33"/>
      <c r="J908" s="29" t="s">
        <v>75</v>
      </c>
      <c r="AA908" t="str">
        <f t="shared" si="14"/>
        <v>Corn</v>
      </c>
    </row>
    <row r="909" ht="30" customHeight="1" spans="1:27">
      <c r="A909" s="29" t="s">
        <v>25</v>
      </c>
      <c r="B909" s="29" t="s">
        <v>236</v>
      </c>
      <c r="C909" s="13" t="s">
        <v>389</v>
      </c>
      <c r="D909" s="29" t="s">
        <v>70</v>
      </c>
      <c r="E909" s="23">
        <v>27738.423</v>
      </c>
      <c r="F909" s="20"/>
      <c r="G909" s="29"/>
      <c r="H909" s="33"/>
      <c r="I909" s="29"/>
      <c r="J909" s="29" t="s">
        <v>64</v>
      </c>
      <c r="AA909" t="str">
        <f t="shared" si="14"/>
        <v>Rice</v>
      </c>
    </row>
    <row r="910" ht="30" customHeight="1" spans="1:27">
      <c r="A910" s="29" t="s">
        <v>25</v>
      </c>
      <c r="B910" s="29" t="s">
        <v>236</v>
      </c>
      <c r="C910" s="13" t="s">
        <v>389</v>
      </c>
      <c r="D910" s="29" t="s">
        <v>91</v>
      </c>
      <c r="E910" s="19">
        <v>4400</v>
      </c>
      <c r="F910" s="20"/>
      <c r="G910" s="29"/>
      <c r="H910" s="33"/>
      <c r="I910" s="29"/>
      <c r="J910" s="29" t="s">
        <v>75</v>
      </c>
      <c r="AA910" t="str">
        <f t="shared" si="14"/>
        <v>Corn</v>
      </c>
    </row>
    <row r="911" ht="30" spans="1:27">
      <c r="A911" s="29" t="s">
        <v>25</v>
      </c>
      <c r="B911" s="29" t="s">
        <v>236</v>
      </c>
      <c r="C911" s="13" t="s">
        <v>389</v>
      </c>
      <c r="D911" s="29" t="s">
        <v>71</v>
      </c>
      <c r="E911" s="23">
        <v>1785.0474</v>
      </c>
      <c r="F911" s="20"/>
      <c r="G911" s="29"/>
      <c r="H911" s="33"/>
      <c r="I911" s="29"/>
      <c r="J911" s="29" t="s">
        <v>64</v>
      </c>
      <c r="AA911" t="str">
        <f t="shared" si="14"/>
        <v>Rice</v>
      </c>
    </row>
    <row r="912" ht="45" customHeight="1" spans="1:27">
      <c r="A912" s="29" t="s">
        <v>25</v>
      </c>
      <c r="B912" s="29" t="s">
        <v>236</v>
      </c>
      <c r="C912" s="13" t="s">
        <v>389</v>
      </c>
      <c r="D912" s="29" t="s">
        <v>365</v>
      </c>
      <c r="E912" s="19">
        <v>1100</v>
      </c>
      <c r="F912" s="20"/>
      <c r="G912" s="29"/>
      <c r="H912" s="33"/>
      <c r="I912" s="29"/>
      <c r="J912" s="29" t="s">
        <v>96</v>
      </c>
      <c r="AA912" t="str">
        <f t="shared" si="14"/>
        <v>Corn</v>
      </c>
    </row>
    <row r="913" ht="30" spans="1:27">
      <c r="A913" s="29" t="s">
        <v>25</v>
      </c>
      <c r="B913" s="29" t="s">
        <v>236</v>
      </c>
      <c r="C913" s="13" t="s">
        <v>389</v>
      </c>
      <c r="D913" s="29" t="s">
        <v>367</v>
      </c>
      <c r="E913" s="19">
        <v>1000</v>
      </c>
      <c r="F913" s="20"/>
      <c r="G913" s="29"/>
      <c r="H913" s="33"/>
      <c r="I913" s="29"/>
      <c r="J913" s="29" t="s">
        <v>75</v>
      </c>
      <c r="AA913" t="str">
        <f t="shared" si="14"/>
        <v>Corn</v>
      </c>
    </row>
    <row r="914" ht="30" customHeight="1" spans="1:27">
      <c r="A914" s="29" t="s">
        <v>25</v>
      </c>
      <c r="B914" s="29" t="s">
        <v>236</v>
      </c>
      <c r="C914" s="13" t="s">
        <v>389</v>
      </c>
      <c r="D914" s="29" t="s">
        <v>121</v>
      </c>
      <c r="E914" s="19">
        <v>2500</v>
      </c>
      <c r="F914" s="20"/>
      <c r="G914" s="29"/>
      <c r="H914" s="33"/>
      <c r="I914" s="29"/>
      <c r="J914" s="29" t="s">
        <v>75</v>
      </c>
      <c r="AA914" t="str">
        <f t="shared" si="14"/>
        <v>Corn</v>
      </c>
    </row>
    <row r="915" ht="30" customHeight="1" spans="1:27">
      <c r="A915" s="29" t="s">
        <v>25</v>
      </c>
      <c r="B915" s="29" t="s">
        <v>236</v>
      </c>
      <c r="C915" s="13" t="s">
        <v>389</v>
      </c>
      <c r="D915" s="29" t="s">
        <v>97</v>
      </c>
      <c r="E915" s="19">
        <v>375</v>
      </c>
      <c r="F915" s="20"/>
      <c r="G915" s="29"/>
      <c r="H915" s="33"/>
      <c r="I915" s="29"/>
      <c r="J915" s="29" t="s">
        <v>75</v>
      </c>
      <c r="AA915" t="str">
        <f t="shared" si="14"/>
        <v>Corn</v>
      </c>
    </row>
    <row r="916" ht="30" customHeight="1" spans="1:27">
      <c r="A916" s="29" t="s">
        <v>25</v>
      </c>
      <c r="B916" s="29" t="s">
        <v>236</v>
      </c>
      <c r="C916" s="13" t="s">
        <v>389</v>
      </c>
      <c r="D916" s="29" t="s">
        <v>147</v>
      </c>
      <c r="E916" s="19">
        <v>4500</v>
      </c>
      <c r="F916" s="20"/>
      <c r="G916" s="29"/>
      <c r="H916" s="33"/>
      <c r="I916" s="29"/>
      <c r="J916" s="29" t="s">
        <v>75</v>
      </c>
      <c r="AA916" t="str">
        <f t="shared" si="14"/>
        <v>Corn</v>
      </c>
    </row>
    <row r="917" ht="30" customHeight="1" spans="1:27">
      <c r="A917" s="29" t="s">
        <v>25</v>
      </c>
      <c r="B917" s="29" t="s">
        <v>236</v>
      </c>
      <c r="C917" s="13" t="s">
        <v>389</v>
      </c>
      <c r="D917" s="29" t="s">
        <v>122</v>
      </c>
      <c r="E917" s="19">
        <v>1250</v>
      </c>
      <c r="F917" s="20"/>
      <c r="G917" s="29"/>
      <c r="H917" s="33"/>
      <c r="I917" s="29"/>
      <c r="J917" s="29" t="s">
        <v>96</v>
      </c>
      <c r="AA917" t="str">
        <f t="shared" si="14"/>
        <v>Corn</v>
      </c>
    </row>
    <row r="918" ht="30" customHeight="1" spans="1:27">
      <c r="A918" s="29" t="s">
        <v>25</v>
      </c>
      <c r="B918" s="29" t="s">
        <v>236</v>
      </c>
      <c r="C918" s="13" t="s">
        <v>389</v>
      </c>
      <c r="D918" s="29" t="s">
        <v>99</v>
      </c>
      <c r="E918" s="19">
        <v>6215</v>
      </c>
      <c r="F918" s="20"/>
      <c r="G918" s="29"/>
      <c r="H918" s="33"/>
      <c r="I918" s="29"/>
      <c r="J918" s="29" t="s">
        <v>75</v>
      </c>
      <c r="AA918" t="str">
        <f t="shared" si="14"/>
        <v>Corn</v>
      </c>
    </row>
    <row r="919" ht="30" customHeight="1" spans="1:27">
      <c r="A919" s="29" t="s">
        <v>25</v>
      </c>
      <c r="B919" s="29" t="s">
        <v>236</v>
      </c>
      <c r="C919" s="13" t="s">
        <v>389</v>
      </c>
      <c r="D919" s="29" t="s">
        <v>205</v>
      </c>
      <c r="E919" s="19">
        <v>1200</v>
      </c>
      <c r="F919" s="20"/>
      <c r="G919" s="29"/>
      <c r="H919" s="33"/>
      <c r="I919" s="29"/>
      <c r="J919" s="29" t="s">
        <v>35</v>
      </c>
      <c r="AA919" t="str">
        <f t="shared" si="14"/>
        <v>High Value Crops (Vegetables/Fruits/Rootcrops)</v>
      </c>
    </row>
    <row r="920" ht="30" customHeight="1" spans="1:27">
      <c r="A920" s="29" t="s">
        <v>25</v>
      </c>
      <c r="B920" s="29" t="s">
        <v>236</v>
      </c>
      <c r="C920" s="13" t="s">
        <v>389</v>
      </c>
      <c r="D920" s="29" t="s">
        <v>103</v>
      </c>
      <c r="E920" s="19"/>
      <c r="F920" s="20"/>
      <c r="G920" s="29"/>
      <c r="H920" s="33"/>
      <c r="I920" s="29"/>
      <c r="J920" s="29" t="s">
        <v>75</v>
      </c>
      <c r="AA920" t="str">
        <f t="shared" si="14"/>
        <v>Corn</v>
      </c>
    </row>
    <row r="921" ht="30" customHeight="1" spans="1:27">
      <c r="A921" s="29" t="s">
        <v>25</v>
      </c>
      <c r="B921" s="29" t="s">
        <v>236</v>
      </c>
      <c r="C921" s="13" t="s">
        <v>389</v>
      </c>
      <c r="D921" s="29" t="s">
        <v>74</v>
      </c>
      <c r="E921" s="19"/>
      <c r="F921" s="20"/>
      <c r="G921" s="29"/>
      <c r="H921" s="33"/>
      <c r="I921" s="29"/>
      <c r="J921" s="29" t="s">
        <v>75</v>
      </c>
      <c r="AA921" t="str">
        <f t="shared" si="14"/>
        <v>Corn</v>
      </c>
    </row>
    <row r="922" ht="30" customHeight="1" spans="1:27">
      <c r="A922" s="29" t="s">
        <v>25</v>
      </c>
      <c r="B922" s="29" t="s">
        <v>236</v>
      </c>
      <c r="C922" s="13" t="s">
        <v>392</v>
      </c>
      <c r="D922" s="29" t="s">
        <v>125</v>
      </c>
      <c r="E922" s="19">
        <v>1560</v>
      </c>
      <c r="F922" s="20"/>
      <c r="G922" s="29"/>
      <c r="H922" s="33"/>
      <c r="I922" s="29"/>
      <c r="J922" s="29" t="s">
        <v>75</v>
      </c>
      <c r="AA922" t="str">
        <f t="shared" si="14"/>
        <v>Corn</v>
      </c>
    </row>
    <row r="923" ht="30" customHeight="1" spans="1:27">
      <c r="A923" s="29" t="s">
        <v>25</v>
      </c>
      <c r="B923" s="29" t="s">
        <v>236</v>
      </c>
      <c r="C923" s="13" t="s">
        <v>392</v>
      </c>
      <c r="D923" s="30" t="s">
        <v>393</v>
      </c>
      <c r="E923" s="19"/>
      <c r="F923" s="20">
        <v>45000</v>
      </c>
      <c r="G923" s="29"/>
      <c r="H923" s="29"/>
      <c r="I923" s="29"/>
      <c r="J923" s="29" t="s">
        <v>29</v>
      </c>
      <c r="AA923" t="str">
        <f t="shared" si="14"/>
        <v>Farm-to-Market Road</v>
      </c>
    </row>
    <row r="924" ht="30" customHeight="1" spans="1:27">
      <c r="A924" s="29" t="s">
        <v>25</v>
      </c>
      <c r="B924" s="29" t="s">
        <v>236</v>
      </c>
      <c r="C924" s="13" t="s">
        <v>392</v>
      </c>
      <c r="D924" s="29" t="s">
        <v>394</v>
      </c>
      <c r="E924" s="19">
        <v>2000</v>
      </c>
      <c r="F924" s="20"/>
      <c r="G924" s="29"/>
      <c r="H924" s="33"/>
      <c r="I924" s="29"/>
      <c r="J924" s="29" t="s">
        <v>67</v>
      </c>
      <c r="AA924" t="str">
        <f t="shared" si="14"/>
        <v>Rice</v>
      </c>
    </row>
    <row r="925" ht="30" customHeight="1" spans="1:27">
      <c r="A925" s="29" t="s">
        <v>25</v>
      </c>
      <c r="B925" s="29" t="s">
        <v>236</v>
      </c>
      <c r="C925" s="13" t="s">
        <v>392</v>
      </c>
      <c r="D925" s="29" t="s">
        <v>395</v>
      </c>
      <c r="E925" s="19">
        <v>2000</v>
      </c>
      <c r="F925" s="20"/>
      <c r="G925" s="29"/>
      <c r="H925" s="33"/>
      <c r="I925" s="29"/>
      <c r="J925" s="29" t="s">
        <v>67</v>
      </c>
      <c r="AA925" t="str">
        <f t="shared" si="14"/>
        <v>Rice</v>
      </c>
    </row>
    <row r="926" ht="30" customHeight="1" spans="1:27">
      <c r="A926" s="29" t="s">
        <v>25</v>
      </c>
      <c r="B926" s="29" t="s">
        <v>236</v>
      </c>
      <c r="C926" s="13" t="s">
        <v>392</v>
      </c>
      <c r="D926" s="29" t="s">
        <v>396</v>
      </c>
      <c r="E926" s="19">
        <v>3000</v>
      </c>
      <c r="F926" s="20"/>
      <c r="G926" s="29"/>
      <c r="H926" s="33"/>
      <c r="I926" s="29"/>
      <c r="J926" s="29" t="s">
        <v>67</v>
      </c>
      <c r="AA926" t="str">
        <f t="shared" si="14"/>
        <v>Rice</v>
      </c>
    </row>
    <row r="927" ht="30" customHeight="1" spans="1:27">
      <c r="A927" s="29" t="s">
        <v>25</v>
      </c>
      <c r="B927" s="29" t="s">
        <v>236</v>
      </c>
      <c r="C927" s="13" t="s">
        <v>392</v>
      </c>
      <c r="D927" s="29" t="s">
        <v>163</v>
      </c>
      <c r="E927" s="19">
        <v>90000</v>
      </c>
      <c r="F927" s="20"/>
      <c r="G927" s="29"/>
      <c r="H927" s="33"/>
      <c r="I927" s="29"/>
      <c r="J927" s="29" t="s">
        <v>96</v>
      </c>
      <c r="AA927" t="str">
        <f t="shared" si="14"/>
        <v>Corn</v>
      </c>
    </row>
    <row r="928" ht="30" customHeight="1" spans="1:27">
      <c r="A928" s="29" t="s">
        <v>25</v>
      </c>
      <c r="B928" s="29" t="s">
        <v>236</v>
      </c>
      <c r="C928" s="13" t="s">
        <v>392</v>
      </c>
      <c r="D928" s="29" t="s">
        <v>397</v>
      </c>
      <c r="E928" s="19">
        <v>90000</v>
      </c>
      <c r="F928" s="20"/>
      <c r="G928" s="29"/>
      <c r="H928" s="33"/>
      <c r="I928" s="29"/>
      <c r="J928" s="29" t="s">
        <v>75</v>
      </c>
      <c r="AA928" t="str">
        <f t="shared" si="14"/>
        <v>Corn</v>
      </c>
    </row>
    <row r="929" ht="30" customHeight="1" spans="1:27">
      <c r="A929" s="29" t="s">
        <v>25</v>
      </c>
      <c r="B929" s="29" t="s">
        <v>236</v>
      </c>
      <c r="C929" s="13" t="s">
        <v>392</v>
      </c>
      <c r="D929" s="29" t="s">
        <v>398</v>
      </c>
      <c r="E929" s="19">
        <v>1600</v>
      </c>
      <c r="F929" s="20"/>
      <c r="G929" s="29"/>
      <c r="H929" s="33"/>
      <c r="I929" s="29"/>
      <c r="J929" s="29" t="s">
        <v>134</v>
      </c>
      <c r="AA929" t="str">
        <f t="shared" si="14"/>
        <v>High Value Export Crops (Dragon Fruit/Ube/Okra/Banana)</v>
      </c>
    </row>
    <row r="930" ht="30" customHeight="1" spans="1:27">
      <c r="A930" s="29" t="s">
        <v>25</v>
      </c>
      <c r="B930" s="29" t="s">
        <v>236</v>
      </c>
      <c r="C930" s="13" t="s">
        <v>392</v>
      </c>
      <c r="D930" s="29" t="s">
        <v>240</v>
      </c>
      <c r="E930" s="23">
        <v>13687.1501</v>
      </c>
      <c r="F930" s="24">
        <v>1256.6011</v>
      </c>
      <c r="G930" s="29"/>
      <c r="H930" s="33"/>
      <c r="I930" s="33"/>
      <c r="J930" s="29" t="s">
        <v>64</v>
      </c>
      <c r="AA930" t="str">
        <f t="shared" si="14"/>
        <v>Rice</v>
      </c>
    </row>
    <row r="931" ht="30" customHeight="1" spans="1:27">
      <c r="A931" s="29" t="s">
        <v>25</v>
      </c>
      <c r="B931" s="29" t="s">
        <v>236</v>
      </c>
      <c r="C931" s="13" t="s">
        <v>392</v>
      </c>
      <c r="D931" s="29" t="s">
        <v>116</v>
      </c>
      <c r="E931" s="19">
        <v>3200</v>
      </c>
      <c r="F931" s="20"/>
      <c r="G931" s="29"/>
      <c r="H931" s="33"/>
      <c r="I931" s="29"/>
      <c r="J931" s="29" t="s">
        <v>96</v>
      </c>
      <c r="AA931" t="str">
        <f t="shared" si="14"/>
        <v>Corn</v>
      </c>
    </row>
    <row r="932" ht="30" customHeight="1" spans="1:27">
      <c r="A932" s="29" t="s">
        <v>25</v>
      </c>
      <c r="B932" s="29" t="s">
        <v>236</v>
      </c>
      <c r="C932" s="13" t="s">
        <v>392</v>
      </c>
      <c r="D932" s="29" t="s">
        <v>302</v>
      </c>
      <c r="E932" s="19">
        <v>3100</v>
      </c>
      <c r="F932" s="20"/>
      <c r="G932" s="29"/>
      <c r="H932" s="33"/>
      <c r="I932" s="29"/>
      <c r="J932" s="29" t="s">
        <v>75</v>
      </c>
      <c r="AA932" t="str">
        <f t="shared" si="14"/>
        <v>Corn</v>
      </c>
    </row>
    <row r="933" ht="30" customHeight="1" spans="1:27">
      <c r="A933" s="29" t="s">
        <v>25</v>
      </c>
      <c r="B933" s="29" t="s">
        <v>236</v>
      </c>
      <c r="C933" s="13" t="s">
        <v>392</v>
      </c>
      <c r="D933" s="29" t="s">
        <v>202</v>
      </c>
      <c r="E933" s="19">
        <v>80</v>
      </c>
      <c r="F933" s="20"/>
      <c r="G933" s="29"/>
      <c r="H933" s="33"/>
      <c r="I933" s="29"/>
      <c r="J933" s="29" t="s">
        <v>35</v>
      </c>
      <c r="AA933" t="str">
        <f t="shared" si="14"/>
        <v>High Value Crops (Vegetables/Fruits/Rootcrops)</v>
      </c>
    </row>
    <row r="934" ht="45" customHeight="1" spans="1:27">
      <c r="A934" s="29" t="s">
        <v>25</v>
      </c>
      <c r="B934" s="29" t="s">
        <v>236</v>
      </c>
      <c r="C934" s="13" t="s">
        <v>392</v>
      </c>
      <c r="D934" s="29" t="s">
        <v>90</v>
      </c>
      <c r="E934" s="19"/>
      <c r="F934" s="20"/>
      <c r="G934" s="29"/>
      <c r="H934" s="33"/>
      <c r="I934" s="33"/>
      <c r="J934" s="29" t="s">
        <v>75</v>
      </c>
      <c r="AA934" t="str">
        <f t="shared" si="14"/>
        <v>Corn</v>
      </c>
    </row>
    <row r="935" ht="45" customHeight="1" spans="1:27">
      <c r="A935" s="29" t="s">
        <v>25</v>
      </c>
      <c r="B935" s="29" t="s">
        <v>236</v>
      </c>
      <c r="C935" s="13" t="s">
        <v>392</v>
      </c>
      <c r="D935" s="29" t="s">
        <v>70</v>
      </c>
      <c r="E935" s="23">
        <v>61592.1756</v>
      </c>
      <c r="F935" s="20"/>
      <c r="G935" s="29"/>
      <c r="H935" s="33"/>
      <c r="I935" s="29"/>
      <c r="J935" s="29" t="s">
        <v>64</v>
      </c>
      <c r="AA935" t="str">
        <f t="shared" si="14"/>
        <v>Rice</v>
      </c>
    </row>
    <row r="936" ht="30" customHeight="1" spans="1:27">
      <c r="A936" s="29" t="s">
        <v>25</v>
      </c>
      <c r="B936" s="29" t="s">
        <v>236</v>
      </c>
      <c r="C936" s="13" t="s">
        <v>392</v>
      </c>
      <c r="D936" s="29" t="s">
        <v>91</v>
      </c>
      <c r="E936" s="19">
        <v>480</v>
      </c>
      <c r="F936" s="20"/>
      <c r="G936" s="29"/>
      <c r="H936" s="33"/>
      <c r="I936" s="29"/>
      <c r="J936" s="29" t="s">
        <v>75</v>
      </c>
      <c r="AA936" t="str">
        <f t="shared" si="14"/>
        <v>Corn</v>
      </c>
    </row>
    <row r="937" ht="30" customHeight="1" spans="1:27">
      <c r="A937" s="29" t="s">
        <v>25</v>
      </c>
      <c r="B937" s="29" t="s">
        <v>236</v>
      </c>
      <c r="C937" s="13" t="s">
        <v>392</v>
      </c>
      <c r="D937" s="29" t="s">
        <v>71</v>
      </c>
      <c r="E937" s="23">
        <v>3963.6339</v>
      </c>
      <c r="F937" s="20"/>
      <c r="G937" s="29"/>
      <c r="H937" s="33"/>
      <c r="I937" s="29"/>
      <c r="J937" s="29" t="s">
        <v>64</v>
      </c>
      <c r="AA937" t="str">
        <f t="shared" si="14"/>
        <v>Rice</v>
      </c>
    </row>
    <row r="938" ht="30" customHeight="1" spans="1:27">
      <c r="A938" s="29" t="s">
        <v>25</v>
      </c>
      <c r="B938" s="29" t="s">
        <v>236</v>
      </c>
      <c r="C938" s="13" t="s">
        <v>392</v>
      </c>
      <c r="D938" s="29" t="s">
        <v>72</v>
      </c>
      <c r="E938" s="19">
        <v>618.98</v>
      </c>
      <c r="F938" s="20"/>
      <c r="G938" s="29"/>
      <c r="H938" s="33"/>
      <c r="I938" s="29"/>
      <c r="J938" s="29" t="s">
        <v>35</v>
      </c>
      <c r="AA938" t="str">
        <f t="shared" si="14"/>
        <v>High Value Crops (Vegetables/Fruits/Rootcrops)</v>
      </c>
    </row>
    <row r="939" ht="30" customHeight="1" spans="1:27">
      <c r="A939" s="29" t="s">
        <v>25</v>
      </c>
      <c r="B939" s="29" t="s">
        <v>236</v>
      </c>
      <c r="C939" s="13" t="s">
        <v>392</v>
      </c>
      <c r="D939" s="29" t="s">
        <v>94</v>
      </c>
      <c r="E939" s="19">
        <v>1000</v>
      </c>
      <c r="F939" s="20"/>
      <c r="G939" s="29"/>
      <c r="H939" s="33"/>
      <c r="I939" s="29"/>
      <c r="J939" s="29" t="s">
        <v>75</v>
      </c>
      <c r="AA939" t="str">
        <f t="shared" si="14"/>
        <v>Corn</v>
      </c>
    </row>
    <row r="940" ht="30" customHeight="1" spans="1:27">
      <c r="A940" s="29" t="s">
        <v>25</v>
      </c>
      <c r="B940" s="29" t="s">
        <v>236</v>
      </c>
      <c r="C940" s="13" t="s">
        <v>392</v>
      </c>
      <c r="D940" s="29" t="s">
        <v>95</v>
      </c>
      <c r="E940" s="19">
        <v>1000</v>
      </c>
      <c r="F940" s="20"/>
      <c r="G940" s="29"/>
      <c r="H940" s="33"/>
      <c r="I940" s="29"/>
      <c r="J940" s="29" t="s">
        <v>96</v>
      </c>
      <c r="AA940" t="str">
        <f t="shared" si="14"/>
        <v>Corn</v>
      </c>
    </row>
    <row r="941" ht="30" customHeight="1" spans="1:27">
      <c r="A941" s="29" t="s">
        <v>25</v>
      </c>
      <c r="B941" s="29" t="s">
        <v>236</v>
      </c>
      <c r="C941" s="13" t="s">
        <v>392</v>
      </c>
      <c r="D941" s="29" t="s">
        <v>387</v>
      </c>
      <c r="E941" s="19">
        <v>500</v>
      </c>
      <c r="F941" s="20"/>
      <c r="G941" s="29"/>
      <c r="H941" s="33"/>
      <c r="I941" s="29"/>
      <c r="J941" s="29" t="s">
        <v>35</v>
      </c>
      <c r="AA941" t="str">
        <f t="shared" si="14"/>
        <v>High Value Crops (Vegetables/Fruits/Rootcrops)</v>
      </c>
    </row>
    <row r="942" ht="45" customHeight="1" spans="1:27">
      <c r="A942" s="29" t="s">
        <v>25</v>
      </c>
      <c r="B942" s="29" t="s">
        <v>236</v>
      </c>
      <c r="C942" s="13" t="s">
        <v>392</v>
      </c>
      <c r="D942" s="29" t="s">
        <v>197</v>
      </c>
      <c r="E942" s="19">
        <v>2000</v>
      </c>
      <c r="F942" s="20"/>
      <c r="G942" s="29"/>
      <c r="H942" s="33"/>
      <c r="I942" s="29"/>
      <c r="J942" s="29" t="s">
        <v>35</v>
      </c>
      <c r="AA942" t="str">
        <f t="shared" si="14"/>
        <v>High Value Crops (Vegetables/Fruits/Rootcrops)</v>
      </c>
    </row>
    <row r="943" ht="30" customHeight="1" spans="1:27">
      <c r="A943" s="29" t="s">
        <v>25</v>
      </c>
      <c r="B943" s="29" t="s">
        <v>236</v>
      </c>
      <c r="C943" s="13" t="s">
        <v>392</v>
      </c>
      <c r="D943" s="29" t="s">
        <v>121</v>
      </c>
      <c r="E943" s="19">
        <v>2500</v>
      </c>
      <c r="F943" s="20"/>
      <c r="G943" s="29"/>
      <c r="H943" s="33"/>
      <c r="I943" s="29"/>
      <c r="J943" s="29" t="s">
        <v>75</v>
      </c>
      <c r="AA943" t="str">
        <f t="shared" si="14"/>
        <v>Corn</v>
      </c>
    </row>
    <row r="944" ht="30" customHeight="1" spans="1:27">
      <c r="A944" s="29" t="s">
        <v>25</v>
      </c>
      <c r="B944" s="29" t="s">
        <v>236</v>
      </c>
      <c r="C944" s="13" t="s">
        <v>392</v>
      </c>
      <c r="D944" s="29" t="s">
        <v>147</v>
      </c>
      <c r="E944" s="19">
        <v>4500</v>
      </c>
      <c r="F944" s="20"/>
      <c r="G944" s="29"/>
      <c r="H944" s="33"/>
      <c r="I944" s="29"/>
      <c r="J944" s="29" t="s">
        <v>75</v>
      </c>
      <c r="AA944" t="str">
        <f t="shared" si="14"/>
        <v>Corn</v>
      </c>
    </row>
    <row r="945" ht="30" customHeight="1" spans="1:27">
      <c r="A945" s="29" t="s">
        <v>25</v>
      </c>
      <c r="B945" s="29" t="s">
        <v>236</v>
      </c>
      <c r="C945" s="13" t="s">
        <v>392</v>
      </c>
      <c r="D945" s="29" t="s">
        <v>127</v>
      </c>
      <c r="E945" s="19">
        <v>220</v>
      </c>
      <c r="F945" s="20"/>
      <c r="G945" s="29"/>
      <c r="H945" s="33"/>
      <c r="I945" s="29"/>
      <c r="J945" s="29" t="s">
        <v>75</v>
      </c>
      <c r="AA945" t="str">
        <f t="shared" si="14"/>
        <v>Corn</v>
      </c>
    </row>
    <row r="946" ht="30" customHeight="1" spans="1:27">
      <c r="A946" s="29" t="s">
        <v>25</v>
      </c>
      <c r="B946" s="29" t="s">
        <v>236</v>
      </c>
      <c r="C946" s="13" t="s">
        <v>392</v>
      </c>
      <c r="D946" s="29" t="s">
        <v>244</v>
      </c>
      <c r="E946" s="19">
        <v>1300</v>
      </c>
      <c r="F946" s="20"/>
      <c r="G946" s="29"/>
      <c r="H946" s="33"/>
      <c r="I946" s="29"/>
      <c r="J946" s="29" t="s">
        <v>75</v>
      </c>
      <c r="AA946" t="str">
        <f t="shared" si="14"/>
        <v>Corn</v>
      </c>
    </row>
    <row r="947" ht="30" customHeight="1" spans="1:27">
      <c r="A947" s="29" t="s">
        <v>25</v>
      </c>
      <c r="B947" s="29" t="s">
        <v>236</v>
      </c>
      <c r="C947" s="13" t="s">
        <v>392</v>
      </c>
      <c r="D947" s="29" t="s">
        <v>122</v>
      </c>
      <c r="E947" s="19">
        <v>1250</v>
      </c>
      <c r="F947" s="20"/>
      <c r="G947" s="29"/>
      <c r="H947" s="33"/>
      <c r="I947" s="29"/>
      <c r="J947" s="29" t="s">
        <v>96</v>
      </c>
      <c r="AA947" t="str">
        <f t="shared" si="14"/>
        <v>Corn</v>
      </c>
    </row>
    <row r="948" ht="30" customHeight="1" spans="1:27">
      <c r="A948" s="29" t="s">
        <v>25</v>
      </c>
      <c r="B948" s="29" t="s">
        <v>236</v>
      </c>
      <c r="C948" s="13" t="s">
        <v>392</v>
      </c>
      <c r="D948" s="29" t="s">
        <v>388</v>
      </c>
      <c r="E948" s="19">
        <v>1000</v>
      </c>
      <c r="F948" s="20"/>
      <c r="G948" s="29"/>
      <c r="H948" s="33"/>
      <c r="I948" s="29"/>
      <c r="J948" s="29" t="s">
        <v>35</v>
      </c>
      <c r="AA948" t="str">
        <f t="shared" si="14"/>
        <v>High Value Crops (Vegetables/Fruits/Rootcrops)</v>
      </c>
    </row>
    <row r="949" ht="30" customHeight="1" spans="1:27">
      <c r="A949" s="29" t="s">
        <v>25</v>
      </c>
      <c r="B949" s="29" t="s">
        <v>236</v>
      </c>
      <c r="C949" s="13" t="s">
        <v>392</v>
      </c>
      <c r="D949" s="29" t="s">
        <v>36</v>
      </c>
      <c r="E949" s="19">
        <v>1500</v>
      </c>
      <c r="F949" s="20"/>
      <c r="G949" s="29"/>
      <c r="H949" s="33"/>
      <c r="I949" s="29"/>
      <c r="J949" s="29" t="s">
        <v>35</v>
      </c>
      <c r="AA949" t="str">
        <f t="shared" si="14"/>
        <v>High Value Crops (Vegetables/Fruits/Rootcrops)</v>
      </c>
    </row>
    <row r="950" ht="30" customHeight="1" spans="1:27">
      <c r="A950" s="29" t="s">
        <v>25</v>
      </c>
      <c r="B950" s="29" t="s">
        <v>236</v>
      </c>
      <c r="C950" s="13" t="s">
        <v>392</v>
      </c>
      <c r="D950" s="29" t="s">
        <v>249</v>
      </c>
      <c r="E950" s="19">
        <v>1000</v>
      </c>
      <c r="F950" s="20"/>
      <c r="G950" s="29"/>
      <c r="H950" s="33"/>
      <c r="I950" s="29"/>
      <c r="J950" s="29" t="s">
        <v>75</v>
      </c>
      <c r="AA950" t="str">
        <f t="shared" si="14"/>
        <v>Corn</v>
      </c>
    </row>
    <row r="951" ht="30" customHeight="1" spans="1:27">
      <c r="A951" s="29" t="s">
        <v>25</v>
      </c>
      <c r="B951" s="29" t="s">
        <v>236</v>
      </c>
      <c r="C951" s="13" t="s">
        <v>392</v>
      </c>
      <c r="D951" s="29" t="s">
        <v>281</v>
      </c>
      <c r="E951" s="19">
        <v>720</v>
      </c>
      <c r="F951" s="20"/>
      <c r="G951" s="29"/>
      <c r="H951" s="33"/>
      <c r="I951" s="29"/>
      <c r="J951" s="29" t="s">
        <v>75</v>
      </c>
      <c r="AA951" t="str">
        <f t="shared" si="14"/>
        <v>Corn</v>
      </c>
    </row>
    <row r="952" ht="30" customHeight="1" spans="1:27">
      <c r="A952" s="29" t="s">
        <v>25</v>
      </c>
      <c r="B952" s="29" t="s">
        <v>236</v>
      </c>
      <c r="C952" s="13" t="s">
        <v>392</v>
      </c>
      <c r="D952" s="29" t="s">
        <v>399</v>
      </c>
      <c r="E952" s="19">
        <v>40000</v>
      </c>
      <c r="F952" s="20"/>
      <c r="G952" s="29"/>
      <c r="H952" s="33"/>
      <c r="I952" s="29"/>
      <c r="J952" s="29" t="s">
        <v>67</v>
      </c>
      <c r="AA952" t="str">
        <f t="shared" si="14"/>
        <v>Rice</v>
      </c>
    </row>
    <row r="953" ht="45" customHeight="1" spans="1:27">
      <c r="A953" s="29" t="s">
        <v>25</v>
      </c>
      <c r="B953" s="29" t="s">
        <v>236</v>
      </c>
      <c r="C953" s="13" t="s">
        <v>392</v>
      </c>
      <c r="D953" s="29" t="s">
        <v>103</v>
      </c>
      <c r="E953" s="19"/>
      <c r="F953" s="20"/>
      <c r="G953" s="29"/>
      <c r="H953" s="33"/>
      <c r="I953" s="29"/>
      <c r="J953" s="29" t="s">
        <v>75</v>
      </c>
      <c r="AA953" t="str">
        <f t="shared" si="14"/>
        <v>Corn</v>
      </c>
    </row>
    <row r="954" ht="30" customHeight="1" spans="1:27">
      <c r="A954" s="29" t="s">
        <v>25</v>
      </c>
      <c r="B954" s="29" t="s">
        <v>236</v>
      </c>
      <c r="C954" s="13" t="s">
        <v>392</v>
      </c>
      <c r="D954" s="29" t="s">
        <v>74</v>
      </c>
      <c r="E954" s="19"/>
      <c r="F954" s="20"/>
      <c r="G954" s="29"/>
      <c r="H954" s="33"/>
      <c r="I954" s="29"/>
      <c r="J954" s="29" t="s">
        <v>75</v>
      </c>
      <c r="AA954" t="str">
        <f t="shared" si="14"/>
        <v>Corn</v>
      </c>
    </row>
    <row r="955" ht="30" customHeight="1" spans="1:27">
      <c r="A955" s="29" t="s">
        <v>25</v>
      </c>
      <c r="B955" s="29" t="s">
        <v>236</v>
      </c>
      <c r="C955" s="13" t="s">
        <v>392</v>
      </c>
      <c r="D955" s="29" t="s">
        <v>184</v>
      </c>
      <c r="E955" s="19">
        <v>200</v>
      </c>
      <c r="F955" s="20"/>
      <c r="G955" s="29"/>
      <c r="H955" s="33"/>
      <c r="I955" s="29"/>
      <c r="J955" s="29" t="s">
        <v>35</v>
      </c>
      <c r="AA955" t="str">
        <f t="shared" si="14"/>
        <v>High Value Crops (Vegetables/Fruits/Rootcrops)</v>
      </c>
    </row>
    <row r="956" ht="30" customHeight="1" spans="1:27">
      <c r="A956" s="29" t="s">
        <v>25</v>
      </c>
      <c r="B956" s="29" t="s">
        <v>400</v>
      </c>
      <c r="C956" s="13" t="s">
        <v>401</v>
      </c>
      <c r="D956" s="30" t="s">
        <v>402</v>
      </c>
      <c r="E956" s="19">
        <v>27900</v>
      </c>
      <c r="F956" s="20"/>
      <c r="G956" s="29"/>
      <c r="H956" s="29"/>
      <c r="I956" s="29"/>
      <c r="J956" s="29" t="s">
        <v>29</v>
      </c>
      <c r="AA956" t="str">
        <f t="shared" si="14"/>
        <v>Farm-to-Market Road</v>
      </c>
    </row>
    <row r="957" ht="30" customHeight="1" spans="1:27">
      <c r="A957" s="29" t="s">
        <v>25</v>
      </c>
      <c r="B957" s="29" t="s">
        <v>400</v>
      </c>
      <c r="C957" s="13" t="s">
        <v>401</v>
      </c>
      <c r="D957" s="30" t="s">
        <v>403</v>
      </c>
      <c r="E957" s="19"/>
      <c r="F957" s="20">
        <v>15500</v>
      </c>
      <c r="G957" s="29"/>
      <c r="H957" s="29"/>
      <c r="I957" s="29"/>
      <c r="J957" s="29" t="s">
        <v>29</v>
      </c>
      <c r="AA957" t="str">
        <f t="shared" si="14"/>
        <v>Farm-to-Market Road</v>
      </c>
    </row>
    <row r="958" ht="30" customHeight="1" spans="1:27">
      <c r="A958" s="29" t="s">
        <v>25</v>
      </c>
      <c r="B958" s="29" t="s">
        <v>400</v>
      </c>
      <c r="C958" s="13" t="s">
        <v>401</v>
      </c>
      <c r="D958" s="29" t="s">
        <v>398</v>
      </c>
      <c r="E958" s="19">
        <v>3400</v>
      </c>
      <c r="F958" s="20"/>
      <c r="G958" s="29"/>
      <c r="H958" s="33"/>
      <c r="I958" s="29"/>
      <c r="J958" s="29" t="s">
        <v>134</v>
      </c>
      <c r="AA958" t="str">
        <f t="shared" si="14"/>
        <v>High Value Export Crops (Dragon Fruit/Ube/Okra/Banana)</v>
      </c>
    </row>
    <row r="959" ht="30" customHeight="1" spans="1:27">
      <c r="A959" s="29" t="s">
        <v>25</v>
      </c>
      <c r="B959" s="29" t="s">
        <v>400</v>
      </c>
      <c r="C959" s="13" t="s">
        <v>401</v>
      </c>
      <c r="D959" s="29" t="s">
        <v>98</v>
      </c>
      <c r="E959" s="19">
        <v>75</v>
      </c>
      <c r="F959" s="20"/>
      <c r="G959" s="29"/>
      <c r="H959" s="33"/>
      <c r="I959" s="29"/>
      <c r="J959" s="29" t="s">
        <v>35</v>
      </c>
      <c r="AA959" t="str">
        <f t="shared" si="14"/>
        <v>High Value Crops (Vegetables/Fruits/Rootcrops)</v>
      </c>
    </row>
    <row r="960" ht="30" customHeight="1" spans="1:27">
      <c r="A960" s="29" t="s">
        <v>25</v>
      </c>
      <c r="B960" s="29" t="s">
        <v>400</v>
      </c>
      <c r="C960" s="13" t="s">
        <v>401</v>
      </c>
      <c r="D960" s="29" t="s">
        <v>404</v>
      </c>
      <c r="E960" s="19">
        <v>4000</v>
      </c>
      <c r="F960" s="20"/>
      <c r="G960" s="29"/>
      <c r="H960" s="33"/>
      <c r="I960" s="29"/>
      <c r="J960" s="29" t="s">
        <v>35</v>
      </c>
      <c r="AA960" t="str">
        <f t="shared" si="14"/>
        <v>High Value Crops (Vegetables/Fruits/Rootcrops)</v>
      </c>
    </row>
    <row r="961" ht="30" customHeight="1" spans="1:27">
      <c r="A961" s="29" t="s">
        <v>25</v>
      </c>
      <c r="B961" s="29" t="s">
        <v>400</v>
      </c>
      <c r="C961" s="13" t="s">
        <v>401</v>
      </c>
      <c r="D961" s="29" t="s">
        <v>36</v>
      </c>
      <c r="E961" s="19">
        <v>2500</v>
      </c>
      <c r="F961" s="20"/>
      <c r="G961" s="29"/>
      <c r="H961" s="33"/>
      <c r="I961" s="29"/>
      <c r="J961" s="29" t="s">
        <v>35</v>
      </c>
      <c r="AA961" t="str">
        <f t="shared" si="14"/>
        <v>High Value Crops (Vegetables/Fruits/Rootcrops)</v>
      </c>
    </row>
    <row r="962" ht="30" customHeight="1" spans="1:27">
      <c r="A962" s="29" t="s">
        <v>25</v>
      </c>
      <c r="B962" s="29" t="s">
        <v>400</v>
      </c>
      <c r="C962" s="13" t="s">
        <v>401</v>
      </c>
      <c r="D962" s="29" t="s">
        <v>405</v>
      </c>
      <c r="E962" s="19">
        <v>600</v>
      </c>
      <c r="F962" s="20"/>
      <c r="G962" s="29"/>
      <c r="H962" s="33"/>
      <c r="I962" s="29"/>
      <c r="J962" s="29" t="s">
        <v>35</v>
      </c>
      <c r="AA962" t="str">
        <f t="shared" si="14"/>
        <v>High Value Crops (Vegetables/Fruits/Rootcrops)</v>
      </c>
    </row>
    <row r="963" ht="30" customHeight="1" spans="1:27">
      <c r="A963" s="29" t="s">
        <v>25</v>
      </c>
      <c r="B963" s="29" t="s">
        <v>400</v>
      </c>
      <c r="C963" s="13" t="s">
        <v>406</v>
      </c>
      <c r="D963" s="30" t="s">
        <v>407</v>
      </c>
      <c r="E963" s="19"/>
      <c r="F963" s="20">
        <v>37975</v>
      </c>
      <c r="G963" s="29"/>
      <c r="H963" s="29"/>
      <c r="I963" s="29"/>
      <c r="J963" s="29" t="s">
        <v>29</v>
      </c>
      <c r="AA963" t="str">
        <f t="shared" si="14"/>
        <v>Farm-to-Market Road</v>
      </c>
    </row>
    <row r="964" ht="30" customHeight="1" spans="1:27">
      <c r="A964" s="29" t="s">
        <v>25</v>
      </c>
      <c r="B964" s="29" t="s">
        <v>400</v>
      </c>
      <c r="C964" s="13" t="s">
        <v>406</v>
      </c>
      <c r="D964" s="30" t="s">
        <v>408</v>
      </c>
      <c r="E964" s="19">
        <v>21700</v>
      </c>
      <c r="F964" s="20"/>
      <c r="G964" s="29"/>
      <c r="H964" s="29"/>
      <c r="I964" s="29"/>
      <c r="J964" s="29" t="s">
        <v>29</v>
      </c>
      <c r="AA964" t="str">
        <f t="shared" si="14"/>
        <v>Farm-to-Market Road</v>
      </c>
    </row>
    <row r="965" ht="30" customHeight="1" spans="1:27">
      <c r="A965" s="29" t="s">
        <v>25</v>
      </c>
      <c r="B965" s="29" t="s">
        <v>400</v>
      </c>
      <c r="C965" s="13" t="s">
        <v>406</v>
      </c>
      <c r="D965" s="29" t="s">
        <v>240</v>
      </c>
      <c r="E965" s="23">
        <v>340.7109</v>
      </c>
      <c r="F965" s="24">
        <v>43.5605</v>
      </c>
      <c r="G965" s="29"/>
      <c r="H965" s="33"/>
      <c r="I965" s="33"/>
      <c r="J965" s="29" t="s">
        <v>64</v>
      </c>
      <c r="AA965" t="str">
        <f t="shared" si="14"/>
        <v>Rice</v>
      </c>
    </row>
    <row r="966" ht="30" customHeight="1" spans="1:27">
      <c r="A966" s="29" t="s">
        <v>25</v>
      </c>
      <c r="B966" s="29" t="s">
        <v>400</v>
      </c>
      <c r="C966" s="13" t="s">
        <v>406</v>
      </c>
      <c r="D966" s="29" t="s">
        <v>70</v>
      </c>
      <c r="E966" s="23">
        <v>1533.199</v>
      </c>
      <c r="F966" s="20"/>
      <c r="G966" s="29"/>
      <c r="H966" s="33"/>
      <c r="I966" s="29"/>
      <c r="J966" s="29" t="s">
        <v>64</v>
      </c>
      <c r="AA966" t="str">
        <f t="shared" si="14"/>
        <v>Rice</v>
      </c>
    </row>
    <row r="967" ht="30" customHeight="1" spans="1:27">
      <c r="A967" s="29" t="s">
        <v>25</v>
      </c>
      <c r="B967" s="29" t="s">
        <v>400</v>
      </c>
      <c r="C967" s="13" t="s">
        <v>406</v>
      </c>
      <c r="D967" s="29" t="s">
        <v>71</v>
      </c>
      <c r="E967" s="23">
        <v>672.1847</v>
      </c>
      <c r="F967" s="20"/>
      <c r="G967" s="29"/>
      <c r="H967" s="33"/>
      <c r="I967" s="29"/>
      <c r="J967" s="29" t="s">
        <v>64</v>
      </c>
      <c r="AA967" t="str">
        <f t="shared" si="14"/>
        <v>Rice</v>
      </c>
    </row>
    <row r="968" ht="30" customHeight="1" spans="1:27">
      <c r="A968" s="29" t="s">
        <v>25</v>
      </c>
      <c r="B968" s="29" t="s">
        <v>400</v>
      </c>
      <c r="C968" s="13" t="s">
        <v>406</v>
      </c>
      <c r="D968" s="29" t="s">
        <v>146</v>
      </c>
      <c r="E968" s="19">
        <v>175</v>
      </c>
      <c r="F968" s="20"/>
      <c r="G968" s="29"/>
      <c r="H968" s="33"/>
      <c r="I968" s="29"/>
      <c r="J968" s="29" t="s">
        <v>33</v>
      </c>
      <c r="AA968" t="str">
        <f t="shared" si="14"/>
        <v>Various Commodities (SAAD)</v>
      </c>
    </row>
    <row r="969" ht="30" customHeight="1" spans="1:27">
      <c r="A969" s="29" t="s">
        <v>25</v>
      </c>
      <c r="B969" s="29" t="s">
        <v>400</v>
      </c>
      <c r="C969" s="13" t="s">
        <v>406</v>
      </c>
      <c r="D969" s="29" t="s">
        <v>409</v>
      </c>
      <c r="E969" s="19"/>
      <c r="F969" s="20">
        <v>5500</v>
      </c>
      <c r="G969" s="29"/>
      <c r="H969" s="29"/>
      <c r="I969" s="33"/>
      <c r="J969" s="29" t="s">
        <v>410</v>
      </c>
      <c r="AA969" t="str">
        <f t="shared" si="14"/>
        <v>Halal Food Products</v>
      </c>
    </row>
    <row r="970" ht="30" customHeight="1" spans="1:27">
      <c r="A970" s="29" t="s">
        <v>25</v>
      </c>
      <c r="B970" s="29" t="s">
        <v>400</v>
      </c>
      <c r="C970" s="13" t="s">
        <v>406</v>
      </c>
      <c r="D970" s="29" t="s">
        <v>411</v>
      </c>
      <c r="E970" s="19">
        <v>2705.4</v>
      </c>
      <c r="F970" s="20"/>
      <c r="G970" s="29"/>
      <c r="H970" s="33"/>
      <c r="I970" s="29"/>
      <c r="J970" s="29" t="s">
        <v>412</v>
      </c>
      <c r="AA970" t="str">
        <f t="shared" ref="AA970:AA1033" si="15">_xlfn.IFS(J970="DA-FMRDP","Farm-to-Market Road",J970="DA-RFO2 RICE","Rice",J970="DA-RFO2 Rice Program","Rice",J970="DA-RFO2 CORN","Corn",J970="DA-RFO2 Corn Program","Corn",J970="DA-RFO2 HVCDP","High Value Crops (Vegetables/Fruits/Rootcrops)",J970="DA-RFO2 HVCDP Export","High Value Export Crops (Dragon Fruit/Ube/Okra/Banana)",J970="DA-RFO2 HVCDP Coffee","Coffee (HVCDP)",J970="DA-RFO2 LIVESTOCK","Livestock (Cattle/Carabao/Swine/Poultry)",J970="DA-RFO2 SAAD","Various Commodities (SAAD)",J970="DA-RFO2 4K","Various Commodities (4Ks)",J970="DA-RFO2 4KS","Various Commodities (4Ks)",J970="DA-RFO2 HALAL","Halal Food Products",J970="DA-RFO2 OAP","Organic Agriculture",J970="DA-RFO2 NUPAP","Vegetables (NUPAP/Urban Agri)",TRUE,IF(ISNUMBER(SEARCH("FMR",D970)),"Farm-to-Market Road",IF(ISNUMBER(SEARCH("RICE",D970)),"Rice",IF(ISNUMBER(SEARCH("CORN",D970)),"Corn",IF(ISNUMBER(SEARCH("HVCDP COFFEE",D970)),"Coffee (HVCDP)",IF(ISNUMBER(SEARCH("HVCDP EXPORT",D970)),"High Value Export Crops (Dragon Fruit/Ube/Okra/Banana)",IF(ISNUMBER(SEARCH("HVCDP",D970)),"High Value Crops (Vegetables/Fruits/Rootcrops)",IF(ISNUMBER(SEARCH("LIVESTOCK",D970)),"Livestock (Cattle/Carabao/Swine/Poultry)",IF(ISNUMBER(SEARCH("SAAD",D970)),"Various Commodities (SAAD)",IF(ISNUMBER(SEARCH("4KS",D970)),"Various Commodities (4Ks)",IF(ISNUMBER(SEARCH("4K",D970)),"Various Commodities (4Ks)",IF(ISNUMBER(SEARCH("HALAL",D970)),"Halal Food Products",IF(ISNUMBER(SEARCH("OAP",D970)),"Organic Agriculture",IF(ISNUMBER(SEARCH("NUPAP",D970)),"Vegetables (NUPAP/Urban Agri)",""))))))))))))))</f>
        <v>Coffee (HVCDP)</v>
      </c>
    </row>
    <row r="971" ht="45" customHeight="1" spans="1:27">
      <c r="A971" s="29" t="s">
        <v>25</v>
      </c>
      <c r="B971" s="29" t="s">
        <v>400</v>
      </c>
      <c r="C971" s="13" t="s">
        <v>406</v>
      </c>
      <c r="D971" s="29" t="s">
        <v>413</v>
      </c>
      <c r="E971" s="19">
        <v>1844.6</v>
      </c>
      <c r="F971" s="20"/>
      <c r="G971" s="29"/>
      <c r="H971" s="33"/>
      <c r="I971" s="29"/>
      <c r="J971" s="29" t="s">
        <v>412</v>
      </c>
      <c r="AA971" t="str">
        <f t="shared" si="15"/>
        <v>Coffee (HVCDP)</v>
      </c>
    </row>
    <row r="972" ht="30" customHeight="1" spans="1:27">
      <c r="A972" s="29" t="s">
        <v>25</v>
      </c>
      <c r="B972" s="29" t="s">
        <v>400</v>
      </c>
      <c r="C972" s="13" t="s">
        <v>406</v>
      </c>
      <c r="D972" s="29" t="s">
        <v>414</v>
      </c>
      <c r="E972" s="19">
        <v>1000</v>
      </c>
      <c r="F972" s="20"/>
      <c r="G972" s="29"/>
      <c r="H972" s="33"/>
      <c r="I972" s="29"/>
      <c r="J972" s="29" t="s">
        <v>35</v>
      </c>
      <c r="AA972" t="str">
        <f t="shared" si="15"/>
        <v>High Value Crops (Vegetables/Fruits/Rootcrops)</v>
      </c>
    </row>
    <row r="973" ht="30" customHeight="1" spans="1:27">
      <c r="A973" s="29" t="s">
        <v>25</v>
      </c>
      <c r="B973" s="29" t="s">
        <v>400</v>
      </c>
      <c r="C973" s="13" t="s">
        <v>415</v>
      </c>
      <c r="D973" s="30" t="s">
        <v>416</v>
      </c>
      <c r="E973" s="19"/>
      <c r="F973" s="20">
        <v>23250</v>
      </c>
      <c r="G973" s="29"/>
      <c r="H973" s="29"/>
      <c r="I973" s="29"/>
      <c r="J973" s="29" t="s">
        <v>29</v>
      </c>
      <c r="AA973" t="str">
        <f t="shared" si="15"/>
        <v>Farm-to-Market Road</v>
      </c>
    </row>
    <row r="974" ht="30" customHeight="1" spans="1:27">
      <c r="A974" s="29" t="s">
        <v>25</v>
      </c>
      <c r="B974" s="29" t="s">
        <v>400</v>
      </c>
      <c r="C974" s="13" t="s">
        <v>415</v>
      </c>
      <c r="D974" s="30" t="s">
        <v>417</v>
      </c>
      <c r="E974" s="19"/>
      <c r="F974" s="20">
        <v>27900</v>
      </c>
      <c r="G974" s="29"/>
      <c r="H974" s="29"/>
      <c r="I974" s="29"/>
      <c r="J974" s="29" t="s">
        <v>29</v>
      </c>
      <c r="AA974" t="str">
        <f t="shared" si="15"/>
        <v>Farm-to-Market Road</v>
      </c>
    </row>
    <row r="975" ht="30" customHeight="1" spans="1:27">
      <c r="A975" s="29" t="s">
        <v>25</v>
      </c>
      <c r="B975" s="29" t="s">
        <v>400</v>
      </c>
      <c r="C975" s="13" t="s">
        <v>415</v>
      </c>
      <c r="D975" s="29" t="s">
        <v>240</v>
      </c>
      <c r="E975" s="23">
        <v>3142.9528</v>
      </c>
      <c r="F975" s="24">
        <v>401.8323</v>
      </c>
      <c r="G975" s="29"/>
      <c r="H975" s="33"/>
      <c r="I975" s="33"/>
      <c r="J975" s="29" t="s">
        <v>64</v>
      </c>
      <c r="AA975" t="str">
        <f t="shared" si="15"/>
        <v>Rice</v>
      </c>
    </row>
    <row r="976" ht="30" customHeight="1" spans="1:27">
      <c r="A976" s="29" t="s">
        <v>25</v>
      </c>
      <c r="B976" s="29" t="s">
        <v>400</v>
      </c>
      <c r="C976" s="13" t="s">
        <v>415</v>
      </c>
      <c r="D976" s="29" t="s">
        <v>70</v>
      </c>
      <c r="E976" s="23">
        <v>14143.2874</v>
      </c>
      <c r="F976" s="20"/>
      <c r="G976" s="29"/>
      <c r="H976" s="33"/>
      <c r="I976" s="29"/>
      <c r="J976" s="29" t="s">
        <v>64</v>
      </c>
      <c r="AA976" t="str">
        <f t="shared" si="15"/>
        <v>Rice</v>
      </c>
    </row>
    <row r="977" ht="30" customHeight="1" spans="1:27">
      <c r="A977" s="29" t="s">
        <v>25</v>
      </c>
      <c r="B977" s="29" t="s">
        <v>400</v>
      </c>
      <c r="C977" s="13" t="s">
        <v>415</v>
      </c>
      <c r="D977" s="29" t="s">
        <v>71</v>
      </c>
      <c r="E977" s="23">
        <v>6200.6966</v>
      </c>
      <c r="F977" s="20"/>
      <c r="G977" s="29"/>
      <c r="H977" s="33"/>
      <c r="I977" s="29"/>
      <c r="J977" s="29" t="s">
        <v>64</v>
      </c>
      <c r="AA977" t="str">
        <f t="shared" si="15"/>
        <v>Rice</v>
      </c>
    </row>
    <row r="978" ht="30" customHeight="1" spans="1:27">
      <c r="A978" s="29" t="s">
        <v>25</v>
      </c>
      <c r="B978" s="29" t="s">
        <v>400</v>
      </c>
      <c r="C978" s="13" t="s">
        <v>415</v>
      </c>
      <c r="D978" s="29" t="s">
        <v>98</v>
      </c>
      <c r="E978" s="19">
        <v>75</v>
      </c>
      <c r="F978" s="20"/>
      <c r="G978" s="29"/>
      <c r="H978" s="33"/>
      <c r="I978" s="29"/>
      <c r="J978" s="29" t="s">
        <v>35</v>
      </c>
      <c r="AA978" t="str">
        <f t="shared" si="15"/>
        <v>High Value Crops (Vegetables/Fruits/Rootcrops)</v>
      </c>
    </row>
    <row r="979" ht="30" customHeight="1" spans="1:27">
      <c r="A979" s="29" t="s">
        <v>25</v>
      </c>
      <c r="B979" s="29" t="s">
        <v>400</v>
      </c>
      <c r="C979" s="13" t="s">
        <v>415</v>
      </c>
      <c r="D979" s="29" t="s">
        <v>328</v>
      </c>
      <c r="E979" s="19">
        <v>1500</v>
      </c>
      <c r="F979" s="20"/>
      <c r="G979" s="29"/>
      <c r="H979" s="33"/>
      <c r="I979" s="29"/>
      <c r="J979" s="29" t="s">
        <v>67</v>
      </c>
      <c r="AA979" t="str">
        <f t="shared" si="15"/>
        <v>Rice</v>
      </c>
    </row>
    <row r="980" ht="30" customHeight="1" spans="1:27">
      <c r="A980" s="29" t="s">
        <v>25</v>
      </c>
      <c r="B980" s="29" t="s">
        <v>400</v>
      </c>
      <c r="C980" s="13" t="s">
        <v>415</v>
      </c>
      <c r="D980" s="29" t="s">
        <v>36</v>
      </c>
      <c r="E980" s="19">
        <v>2500</v>
      </c>
      <c r="F980" s="20"/>
      <c r="G980" s="29"/>
      <c r="H980" s="33"/>
      <c r="I980" s="29"/>
      <c r="J980" s="29" t="s">
        <v>35</v>
      </c>
      <c r="AA980" t="str">
        <f t="shared" si="15"/>
        <v>High Value Crops (Vegetables/Fruits/Rootcrops)</v>
      </c>
    </row>
    <row r="981" ht="30" customHeight="1" spans="1:27">
      <c r="A981" s="29" t="s">
        <v>25</v>
      </c>
      <c r="B981" s="29" t="s">
        <v>400</v>
      </c>
      <c r="C981" s="13" t="s">
        <v>415</v>
      </c>
      <c r="D981" s="29" t="s">
        <v>418</v>
      </c>
      <c r="E981" s="19">
        <v>12000</v>
      </c>
      <c r="F981" s="20"/>
      <c r="G981" s="29"/>
      <c r="H981" s="33"/>
      <c r="I981" s="29"/>
      <c r="J981" s="29" t="s">
        <v>35</v>
      </c>
      <c r="AA981" t="str">
        <f t="shared" si="15"/>
        <v>High Value Crops (Vegetables/Fruits/Rootcrops)</v>
      </c>
    </row>
    <row r="982" ht="45" customHeight="1" spans="1:27">
      <c r="A982" s="29" t="s">
        <v>25</v>
      </c>
      <c r="B982" s="29" t="s">
        <v>400</v>
      </c>
      <c r="C982" s="13" t="s">
        <v>415</v>
      </c>
      <c r="D982" s="29" t="s">
        <v>405</v>
      </c>
      <c r="E982" s="19">
        <v>600</v>
      </c>
      <c r="F982" s="20"/>
      <c r="G982" s="29"/>
      <c r="H982" s="33"/>
      <c r="I982" s="29"/>
      <c r="J982" s="29" t="s">
        <v>35</v>
      </c>
      <c r="AA982" t="str">
        <f t="shared" si="15"/>
        <v>High Value Crops (Vegetables/Fruits/Rootcrops)</v>
      </c>
    </row>
    <row r="983" ht="30" customHeight="1" spans="1:27">
      <c r="A983" s="29" t="s">
        <v>25</v>
      </c>
      <c r="B983" s="29" t="s">
        <v>400</v>
      </c>
      <c r="C983" s="13" t="s">
        <v>419</v>
      </c>
      <c r="D983" s="29" t="s">
        <v>125</v>
      </c>
      <c r="E983" s="19">
        <v>600</v>
      </c>
      <c r="F983" s="20"/>
      <c r="G983" s="29"/>
      <c r="H983" s="33"/>
      <c r="I983" s="29"/>
      <c r="J983" s="29" t="s">
        <v>75</v>
      </c>
      <c r="AA983" t="str">
        <f t="shared" si="15"/>
        <v>Corn</v>
      </c>
    </row>
    <row r="984" ht="30" customHeight="1" spans="1:27">
      <c r="A984" s="29" t="s">
        <v>25</v>
      </c>
      <c r="B984" s="29" t="s">
        <v>400</v>
      </c>
      <c r="C984" s="13" t="s">
        <v>419</v>
      </c>
      <c r="D984" s="30" t="s">
        <v>420</v>
      </c>
      <c r="E984" s="19"/>
      <c r="F984" s="20">
        <v>24800</v>
      </c>
      <c r="G984" s="29"/>
      <c r="H984" s="29"/>
      <c r="I984" s="29"/>
      <c r="J984" s="29" t="s">
        <v>29</v>
      </c>
      <c r="AA984" t="str">
        <f t="shared" si="15"/>
        <v>Farm-to-Market Road</v>
      </c>
    </row>
    <row r="985" ht="30" customHeight="1" spans="1:27">
      <c r="A985" s="29" t="s">
        <v>25</v>
      </c>
      <c r="B985" s="29" t="s">
        <v>400</v>
      </c>
      <c r="C985" s="13" t="s">
        <v>419</v>
      </c>
      <c r="D985" s="29" t="s">
        <v>240</v>
      </c>
      <c r="E985" s="23">
        <v>3318.3558</v>
      </c>
      <c r="F985" s="24">
        <v>424.2579</v>
      </c>
      <c r="G985" s="29"/>
      <c r="H985" s="33"/>
      <c r="I985" s="33"/>
      <c r="J985" s="29" t="s">
        <v>64</v>
      </c>
      <c r="AA985" t="str">
        <f t="shared" si="15"/>
        <v>Rice</v>
      </c>
    </row>
    <row r="986" ht="30" customHeight="1" spans="1:27">
      <c r="A986" s="29" t="s">
        <v>25</v>
      </c>
      <c r="B986" s="29" t="s">
        <v>400</v>
      </c>
      <c r="C986" s="13" t="s">
        <v>419</v>
      </c>
      <c r="D986" s="29" t="s">
        <v>66</v>
      </c>
      <c r="E986" s="19">
        <v>1500</v>
      </c>
      <c r="F986" s="20"/>
      <c r="G986" s="29"/>
      <c r="H986" s="33"/>
      <c r="I986" s="29"/>
      <c r="J986" s="29" t="s">
        <v>67</v>
      </c>
      <c r="AA986" t="str">
        <f t="shared" si="15"/>
        <v>Rice</v>
      </c>
    </row>
    <row r="987" ht="30" customHeight="1" spans="1:27">
      <c r="A987" s="29" t="s">
        <v>25</v>
      </c>
      <c r="B987" s="29" t="s">
        <v>400</v>
      </c>
      <c r="C987" s="13" t="s">
        <v>419</v>
      </c>
      <c r="D987" s="29" t="s">
        <v>202</v>
      </c>
      <c r="E987" s="19">
        <v>40</v>
      </c>
      <c r="F987" s="20"/>
      <c r="G987" s="29"/>
      <c r="H987" s="33"/>
      <c r="I987" s="29"/>
      <c r="J987" s="29" t="s">
        <v>35</v>
      </c>
      <c r="AA987" t="str">
        <f t="shared" si="15"/>
        <v>High Value Crops (Vegetables/Fruits/Rootcrops)</v>
      </c>
    </row>
    <row r="988" ht="30" customHeight="1" spans="1:27">
      <c r="A988" s="29" t="s">
        <v>25</v>
      </c>
      <c r="B988" s="29" t="s">
        <v>400</v>
      </c>
      <c r="C988" s="13" t="s">
        <v>419</v>
      </c>
      <c r="D988" s="29" t="s">
        <v>421</v>
      </c>
      <c r="E988" s="19">
        <v>1664</v>
      </c>
      <c r="F988" s="20">
        <v>78000</v>
      </c>
      <c r="G988" s="29"/>
      <c r="H988" s="33"/>
      <c r="I988" s="33"/>
      <c r="J988" s="29" t="s">
        <v>75</v>
      </c>
      <c r="AA988" t="str">
        <f t="shared" si="15"/>
        <v>Corn</v>
      </c>
    </row>
    <row r="989" ht="30" customHeight="1" spans="1:27">
      <c r="A989" s="29" t="s">
        <v>25</v>
      </c>
      <c r="B989" s="29" t="s">
        <v>400</v>
      </c>
      <c r="C989" s="13" t="s">
        <v>419</v>
      </c>
      <c r="D989" s="29" t="s">
        <v>70</v>
      </c>
      <c r="E989" s="23">
        <v>14932.601</v>
      </c>
      <c r="F989" s="20"/>
      <c r="G989" s="29"/>
      <c r="H989" s="33"/>
      <c r="I989" s="29"/>
      <c r="J989" s="29" t="s">
        <v>64</v>
      </c>
      <c r="AA989" t="str">
        <f t="shared" si="15"/>
        <v>Rice</v>
      </c>
    </row>
    <row r="990" ht="30" customHeight="1" spans="1:27">
      <c r="A990" s="29" t="s">
        <v>25</v>
      </c>
      <c r="B990" s="29" t="s">
        <v>400</v>
      </c>
      <c r="C990" s="13" t="s">
        <v>419</v>
      </c>
      <c r="D990" s="29" t="s">
        <v>91</v>
      </c>
      <c r="E990" s="19">
        <v>112</v>
      </c>
      <c r="F990" s="20"/>
      <c r="G990" s="29"/>
      <c r="H990" s="33"/>
      <c r="I990" s="29"/>
      <c r="J990" s="29" t="s">
        <v>75</v>
      </c>
      <c r="AA990" t="str">
        <f t="shared" si="15"/>
        <v>Corn</v>
      </c>
    </row>
    <row r="991" ht="30" customHeight="1" spans="1:27">
      <c r="A991" s="29" t="s">
        <v>25</v>
      </c>
      <c r="B991" s="29" t="s">
        <v>400</v>
      </c>
      <c r="C991" s="13" t="s">
        <v>419</v>
      </c>
      <c r="D991" s="29" t="s">
        <v>71</v>
      </c>
      <c r="E991" s="23">
        <v>6546.7472</v>
      </c>
      <c r="F991" s="20"/>
      <c r="G991" s="29"/>
      <c r="H991" s="33"/>
      <c r="I991" s="29"/>
      <c r="J991" s="29" t="s">
        <v>64</v>
      </c>
      <c r="AA991" t="str">
        <f t="shared" si="15"/>
        <v>Rice</v>
      </c>
    </row>
    <row r="992" ht="30" customHeight="1" spans="1:27">
      <c r="A992" s="29" t="s">
        <v>25</v>
      </c>
      <c r="B992" s="29" t="s">
        <v>400</v>
      </c>
      <c r="C992" s="13" t="s">
        <v>419</v>
      </c>
      <c r="D992" s="29" t="s">
        <v>72</v>
      </c>
      <c r="E992" s="19">
        <v>103.16</v>
      </c>
      <c r="F992" s="20"/>
      <c r="G992" s="29"/>
      <c r="H992" s="33"/>
      <c r="I992" s="29"/>
      <c r="J992" s="29" t="s">
        <v>35</v>
      </c>
      <c r="AA992" t="str">
        <f t="shared" si="15"/>
        <v>High Value Crops (Vegetables/Fruits/Rootcrops)</v>
      </c>
    </row>
    <row r="993" ht="30" customHeight="1" spans="1:27">
      <c r="A993" s="29" t="s">
        <v>25</v>
      </c>
      <c r="B993" s="29" t="s">
        <v>400</v>
      </c>
      <c r="C993" s="13" t="s">
        <v>419</v>
      </c>
      <c r="D993" s="29" t="s">
        <v>127</v>
      </c>
      <c r="E993" s="19">
        <v>100</v>
      </c>
      <c r="F993" s="20"/>
      <c r="G993" s="29"/>
      <c r="H993" s="33"/>
      <c r="I993" s="29"/>
      <c r="J993" s="29" t="s">
        <v>75</v>
      </c>
      <c r="AA993" t="str">
        <f t="shared" si="15"/>
        <v>Corn</v>
      </c>
    </row>
    <row r="994" ht="30" customHeight="1" spans="1:27">
      <c r="A994" s="29" t="s">
        <v>25</v>
      </c>
      <c r="B994" s="29" t="s">
        <v>400</v>
      </c>
      <c r="C994" s="13" t="s">
        <v>419</v>
      </c>
      <c r="D994" s="29" t="s">
        <v>244</v>
      </c>
      <c r="E994" s="19">
        <v>500</v>
      </c>
      <c r="F994" s="20"/>
      <c r="G994" s="29"/>
      <c r="H994" s="33"/>
      <c r="I994" s="29"/>
      <c r="J994" s="29" t="s">
        <v>75</v>
      </c>
      <c r="AA994" t="str">
        <f t="shared" si="15"/>
        <v>Corn</v>
      </c>
    </row>
    <row r="995" ht="45" customHeight="1" spans="1:27">
      <c r="A995" s="29" t="s">
        <v>25</v>
      </c>
      <c r="B995" s="29" t="s">
        <v>400</v>
      </c>
      <c r="C995" s="13" t="s">
        <v>419</v>
      </c>
      <c r="D995" s="29" t="s">
        <v>409</v>
      </c>
      <c r="E995" s="19"/>
      <c r="F995" s="20">
        <v>5500</v>
      </c>
      <c r="G995" s="29"/>
      <c r="H995" s="29"/>
      <c r="I995" s="33"/>
      <c r="J995" s="29" t="s">
        <v>410</v>
      </c>
      <c r="AA995" t="str">
        <f t="shared" si="15"/>
        <v>Halal Food Products</v>
      </c>
    </row>
    <row r="996" ht="30" customHeight="1" spans="1:27">
      <c r="A996" s="29" t="s">
        <v>25</v>
      </c>
      <c r="B996" s="29" t="s">
        <v>400</v>
      </c>
      <c r="C996" s="13" t="s">
        <v>419</v>
      </c>
      <c r="D996" s="29" t="s">
        <v>73</v>
      </c>
      <c r="E996" s="19">
        <v>33430</v>
      </c>
      <c r="F996" s="20"/>
      <c r="G996" s="29"/>
      <c r="H996" s="33"/>
      <c r="I996" s="29"/>
      <c r="J996" s="29" t="s">
        <v>64</v>
      </c>
      <c r="AA996" t="str">
        <f t="shared" si="15"/>
        <v>Rice</v>
      </c>
    </row>
    <row r="997" ht="30" customHeight="1" spans="1:27">
      <c r="A997" s="29" t="s">
        <v>25</v>
      </c>
      <c r="B997" s="29" t="s">
        <v>400</v>
      </c>
      <c r="C997" s="13" t="s">
        <v>419</v>
      </c>
      <c r="D997" s="29" t="s">
        <v>36</v>
      </c>
      <c r="E997" s="19">
        <v>250</v>
      </c>
      <c r="F997" s="20"/>
      <c r="G997" s="29"/>
      <c r="H997" s="33"/>
      <c r="I997" s="29"/>
      <c r="J997" s="29" t="s">
        <v>35</v>
      </c>
      <c r="AA997" t="str">
        <f t="shared" si="15"/>
        <v>High Value Crops (Vegetables/Fruits/Rootcrops)</v>
      </c>
    </row>
    <row r="998" ht="30" customHeight="1" spans="1:27">
      <c r="A998" s="29" t="s">
        <v>25</v>
      </c>
      <c r="B998" s="29" t="s">
        <v>400</v>
      </c>
      <c r="C998" s="13" t="s">
        <v>419</v>
      </c>
      <c r="D998" s="29" t="s">
        <v>102</v>
      </c>
      <c r="E998" s="19">
        <v>420</v>
      </c>
      <c r="F998" s="20"/>
      <c r="G998" s="29"/>
      <c r="H998" s="33"/>
      <c r="I998" s="29"/>
      <c r="J998" s="29" t="s">
        <v>75</v>
      </c>
      <c r="AA998" t="str">
        <f t="shared" si="15"/>
        <v>Corn</v>
      </c>
    </row>
    <row r="999" ht="45" customHeight="1" spans="1:27">
      <c r="A999" s="29" t="s">
        <v>25</v>
      </c>
      <c r="B999" s="29" t="s">
        <v>400</v>
      </c>
      <c r="C999" s="13" t="s">
        <v>419</v>
      </c>
      <c r="D999" s="30" t="s">
        <v>422</v>
      </c>
      <c r="E999" s="19"/>
      <c r="F999" s="20">
        <v>22010</v>
      </c>
      <c r="G999" s="29"/>
      <c r="H999" s="29"/>
      <c r="I999" s="29"/>
      <c r="J999" s="29" t="s">
        <v>29</v>
      </c>
      <c r="AA999" t="str">
        <f t="shared" si="15"/>
        <v>Farm-to-Market Road</v>
      </c>
    </row>
    <row r="1000" ht="45" customHeight="1" spans="1:27">
      <c r="A1000" s="29" t="s">
        <v>25</v>
      </c>
      <c r="B1000" s="29" t="s">
        <v>400</v>
      </c>
      <c r="C1000" s="13" t="s">
        <v>419</v>
      </c>
      <c r="D1000" s="29" t="s">
        <v>74</v>
      </c>
      <c r="E1000" s="19">
        <v>1920</v>
      </c>
      <c r="F1000" s="20"/>
      <c r="G1000" s="29"/>
      <c r="H1000" s="33"/>
      <c r="I1000" s="29"/>
      <c r="J1000" s="29" t="s">
        <v>75</v>
      </c>
      <c r="AA1000" t="str">
        <f t="shared" si="15"/>
        <v>Corn</v>
      </c>
    </row>
    <row r="1001" ht="30" customHeight="1" spans="1:27">
      <c r="A1001" s="29" t="s">
        <v>25</v>
      </c>
      <c r="B1001" s="29" t="s">
        <v>400</v>
      </c>
      <c r="C1001" s="13" t="s">
        <v>423</v>
      </c>
      <c r="D1001" s="30" t="s">
        <v>424</v>
      </c>
      <c r="E1001" s="19"/>
      <c r="F1001" s="20">
        <v>23250</v>
      </c>
      <c r="G1001" s="29"/>
      <c r="H1001" s="29"/>
      <c r="I1001" s="29"/>
      <c r="J1001" s="29" t="s">
        <v>29</v>
      </c>
      <c r="AA1001" t="str">
        <f t="shared" si="15"/>
        <v>Farm-to-Market Road</v>
      </c>
    </row>
    <row r="1002" ht="30" customHeight="1" spans="1:27">
      <c r="A1002" s="29" t="s">
        <v>25</v>
      </c>
      <c r="B1002" s="29" t="s">
        <v>400</v>
      </c>
      <c r="C1002" s="13" t="s">
        <v>423</v>
      </c>
      <c r="D1002" s="30" t="s">
        <v>425</v>
      </c>
      <c r="E1002" s="19"/>
      <c r="F1002" s="20">
        <v>18290</v>
      </c>
      <c r="G1002" s="29"/>
      <c r="H1002" s="29"/>
      <c r="I1002" s="29"/>
      <c r="J1002" s="29" t="s">
        <v>29</v>
      </c>
      <c r="AA1002" t="str">
        <f t="shared" si="15"/>
        <v>Farm-to-Market Road</v>
      </c>
    </row>
    <row r="1003" ht="30" customHeight="1" spans="1:27">
      <c r="A1003" s="29" t="s">
        <v>25</v>
      </c>
      <c r="B1003" s="29" t="s">
        <v>400</v>
      </c>
      <c r="C1003" s="13" t="s">
        <v>423</v>
      </c>
      <c r="D1003" s="29" t="s">
        <v>240</v>
      </c>
      <c r="E1003" s="23">
        <v>3497.1238</v>
      </c>
      <c r="F1003" s="24">
        <v>447.1138</v>
      </c>
      <c r="G1003" s="29"/>
      <c r="H1003" s="33"/>
      <c r="I1003" s="33"/>
      <c r="J1003" s="29" t="s">
        <v>64</v>
      </c>
      <c r="AA1003" t="str">
        <f t="shared" si="15"/>
        <v>Rice</v>
      </c>
    </row>
    <row r="1004" ht="30" customHeight="1" spans="1:27">
      <c r="A1004" s="29" t="s">
        <v>25</v>
      </c>
      <c r="B1004" s="29" t="s">
        <v>400</v>
      </c>
      <c r="C1004" s="13" t="s">
        <v>423</v>
      </c>
      <c r="D1004" s="29" t="s">
        <v>421</v>
      </c>
      <c r="E1004" s="19"/>
      <c r="F1004" s="20"/>
      <c r="G1004" s="29"/>
      <c r="H1004" s="33"/>
      <c r="I1004" s="33"/>
      <c r="J1004" s="29" t="s">
        <v>75</v>
      </c>
      <c r="AA1004" t="str">
        <f t="shared" si="15"/>
        <v>Corn</v>
      </c>
    </row>
    <row r="1005" ht="45" customHeight="1" spans="1:27">
      <c r="A1005" s="29" t="s">
        <v>25</v>
      </c>
      <c r="B1005" s="29" t="s">
        <v>400</v>
      </c>
      <c r="C1005" s="13" t="s">
        <v>423</v>
      </c>
      <c r="D1005" s="29" t="s">
        <v>70</v>
      </c>
      <c r="E1005" s="23">
        <v>15737.0572</v>
      </c>
      <c r="F1005" s="20"/>
      <c r="G1005" s="29"/>
      <c r="H1005" s="33"/>
      <c r="I1005" s="29"/>
      <c r="J1005" s="29" t="s">
        <v>64</v>
      </c>
      <c r="AA1005" t="str">
        <f t="shared" si="15"/>
        <v>Rice</v>
      </c>
    </row>
    <row r="1006" ht="30" spans="1:27">
      <c r="A1006" s="29" t="s">
        <v>25</v>
      </c>
      <c r="B1006" s="29" t="s">
        <v>400</v>
      </c>
      <c r="C1006" s="13" t="s">
        <v>423</v>
      </c>
      <c r="D1006" s="29" t="s">
        <v>71</v>
      </c>
      <c r="E1006" s="23">
        <v>6899.4367</v>
      </c>
      <c r="F1006" s="20"/>
      <c r="G1006" s="29"/>
      <c r="H1006" s="33"/>
      <c r="I1006" s="29"/>
      <c r="J1006" s="29" t="s">
        <v>64</v>
      </c>
      <c r="AA1006" t="str">
        <f t="shared" si="15"/>
        <v>Rice</v>
      </c>
    </row>
    <row r="1007" ht="30" customHeight="1" spans="1:27">
      <c r="A1007" s="29" t="s">
        <v>25</v>
      </c>
      <c r="B1007" s="29" t="s">
        <v>400</v>
      </c>
      <c r="C1007" s="13" t="s">
        <v>423</v>
      </c>
      <c r="D1007" s="29" t="s">
        <v>98</v>
      </c>
      <c r="E1007" s="19">
        <v>75</v>
      </c>
      <c r="F1007" s="20"/>
      <c r="G1007" s="29"/>
      <c r="H1007" s="33"/>
      <c r="I1007" s="29"/>
      <c r="J1007" s="29" t="s">
        <v>35</v>
      </c>
      <c r="AA1007" t="str">
        <f t="shared" si="15"/>
        <v>High Value Crops (Vegetables/Fruits/Rootcrops)</v>
      </c>
    </row>
    <row r="1008" ht="30" customHeight="1" spans="1:27">
      <c r="A1008" s="29" t="s">
        <v>25</v>
      </c>
      <c r="B1008" s="29" t="s">
        <v>400</v>
      </c>
      <c r="C1008" s="13" t="s">
        <v>423</v>
      </c>
      <c r="D1008" s="29" t="s">
        <v>34</v>
      </c>
      <c r="E1008" s="19">
        <v>51</v>
      </c>
      <c r="F1008" s="20"/>
      <c r="G1008" s="29"/>
      <c r="H1008" s="33"/>
      <c r="I1008" s="29"/>
      <c r="J1008" s="29" t="s">
        <v>35</v>
      </c>
      <c r="AA1008" t="str">
        <f t="shared" si="15"/>
        <v>High Value Crops (Vegetables/Fruits/Rootcrops)</v>
      </c>
    </row>
    <row r="1009" ht="30" customHeight="1" spans="1:27">
      <c r="A1009" s="29" t="s">
        <v>25</v>
      </c>
      <c r="B1009" s="29" t="s">
        <v>400</v>
      </c>
      <c r="C1009" s="13" t="s">
        <v>423</v>
      </c>
      <c r="D1009" s="29" t="s">
        <v>73</v>
      </c>
      <c r="E1009" s="19">
        <v>33430</v>
      </c>
      <c r="F1009" s="20"/>
      <c r="G1009" s="29"/>
      <c r="H1009" s="33"/>
      <c r="I1009" s="29"/>
      <c r="J1009" s="29" t="s">
        <v>64</v>
      </c>
      <c r="AA1009" t="str">
        <f t="shared" si="15"/>
        <v>Rice</v>
      </c>
    </row>
    <row r="1010" ht="30" customHeight="1" spans="1:27">
      <c r="A1010" s="29" t="s">
        <v>25</v>
      </c>
      <c r="B1010" s="29" t="s">
        <v>400</v>
      </c>
      <c r="C1010" s="13" t="s">
        <v>423</v>
      </c>
      <c r="D1010" s="29" t="s">
        <v>36</v>
      </c>
      <c r="E1010" s="19">
        <v>250</v>
      </c>
      <c r="F1010" s="20"/>
      <c r="G1010" s="29"/>
      <c r="H1010" s="33"/>
      <c r="I1010" s="29"/>
      <c r="J1010" s="29" t="s">
        <v>35</v>
      </c>
      <c r="AA1010" t="str">
        <f t="shared" si="15"/>
        <v>High Value Crops (Vegetables/Fruits/Rootcrops)</v>
      </c>
    </row>
    <row r="1011" ht="30" spans="1:27">
      <c r="A1011" s="29" t="s">
        <v>25</v>
      </c>
      <c r="B1011" s="29" t="s">
        <v>400</v>
      </c>
      <c r="C1011" s="13" t="s">
        <v>423</v>
      </c>
      <c r="D1011" s="29" t="s">
        <v>74</v>
      </c>
      <c r="E1011" s="19"/>
      <c r="F1011" s="20"/>
      <c r="G1011" s="29"/>
      <c r="H1011" s="33"/>
      <c r="I1011" s="29"/>
      <c r="J1011" s="29" t="s">
        <v>75</v>
      </c>
      <c r="AA1011" t="str">
        <f t="shared" si="15"/>
        <v>Corn</v>
      </c>
    </row>
    <row r="1012" ht="45" customHeight="1" spans="1:27">
      <c r="A1012" s="29" t="s">
        <v>25</v>
      </c>
      <c r="B1012" s="29" t="s">
        <v>400</v>
      </c>
      <c r="C1012" s="13" t="s">
        <v>426</v>
      </c>
      <c r="D1012" s="29" t="s">
        <v>125</v>
      </c>
      <c r="E1012" s="19">
        <v>600</v>
      </c>
      <c r="F1012" s="20"/>
      <c r="G1012" s="29"/>
      <c r="H1012" s="33"/>
      <c r="I1012" s="29"/>
      <c r="J1012" s="29" t="s">
        <v>75</v>
      </c>
      <c r="AA1012" t="str">
        <f t="shared" si="15"/>
        <v>Corn</v>
      </c>
    </row>
    <row r="1013" ht="45" customHeight="1" spans="1:27">
      <c r="A1013" s="29" t="s">
        <v>25</v>
      </c>
      <c r="B1013" s="29" t="s">
        <v>400</v>
      </c>
      <c r="C1013" s="13" t="s">
        <v>426</v>
      </c>
      <c r="D1013" s="29" t="s">
        <v>317</v>
      </c>
      <c r="E1013" s="19">
        <v>1500</v>
      </c>
      <c r="F1013" s="20"/>
      <c r="G1013" s="29"/>
      <c r="H1013" s="33"/>
      <c r="I1013" s="29"/>
      <c r="J1013" s="29" t="s">
        <v>80</v>
      </c>
      <c r="AA1013" t="str">
        <f t="shared" si="15"/>
        <v>Livestock (Cattle/Carabao/Swine/Poultry)</v>
      </c>
    </row>
    <row r="1014" ht="30" customHeight="1" spans="1:27">
      <c r="A1014" s="29" t="s">
        <v>25</v>
      </c>
      <c r="B1014" s="29" t="s">
        <v>400</v>
      </c>
      <c r="C1014" s="13" t="s">
        <v>426</v>
      </c>
      <c r="D1014" s="30" t="s">
        <v>427</v>
      </c>
      <c r="E1014" s="19"/>
      <c r="F1014" s="20">
        <v>15500</v>
      </c>
      <c r="G1014" s="29"/>
      <c r="H1014" s="29"/>
      <c r="I1014" s="29"/>
      <c r="J1014" s="29" t="s">
        <v>29</v>
      </c>
      <c r="AA1014" t="str">
        <f t="shared" si="15"/>
        <v>Farm-to-Market Road</v>
      </c>
    </row>
    <row r="1015" ht="45" spans="1:27">
      <c r="A1015" s="29" t="s">
        <v>25</v>
      </c>
      <c r="B1015" s="29" t="s">
        <v>400</v>
      </c>
      <c r="C1015" s="13" t="s">
        <v>426</v>
      </c>
      <c r="D1015" s="30" t="s">
        <v>428</v>
      </c>
      <c r="E1015" s="19"/>
      <c r="F1015" s="20">
        <v>15500</v>
      </c>
      <c r="G1015" s="29"/>
      <c r="H1015" s="29"/>
      <c r="I1015" s="29"/>
      <c r="J1015" s="29" t="s">
        <v>29</v>
      </c>
      <c r="AA1015" t="str">
        <f t="shared" si="15"/>
        <v>Farm-to-Market Road</v>
      </c>
    </row>
    <row r="1016" ht="30" spans="1:27">
      <c r="A1016" s="29" t="s">
        <v>25</v>
      </c>
      <c r="B1016" s="29" t="s">
        <v>400</v>
      </c>
      <c r="C1016" s="13" t="s">
        <v>426</v>
      </c>
      <c r="D1016" s="29" t="s">
        <v>240</v>
      </c>
      <c r="E1016" s="23">
        <v>2664.7377</v>
      </c>
      <c r="F1016" s="24">
        <v>340.6916</v>
      </c>
      <c r="G1016" s="29"/>
      <c r="H1016" s="33"/>
      <c r="I1016" s="33"/>
      <c r="J1016" s="29" t="s">
        <v>64</v>
      </c>
      <c r="AA1016" t="str">
        <f t="shared" si="15"/>
        <v>Rice</v>
      </c>
    </row>
    <row r="1017" ht="30" customHeight="1" spans="1:27">
      <c r="A1017" s="29" t="s">
        <v>25</v>
      </c>
      <c r="B1017" s="29" t="s">
        <v>400</v>
      </c>
      <c r="C1017" s="13" t="s">
        <v>426</v>
      </c>
      <c r="D1017" s="29" t="s">
        <v>69</v>
      </c>
      <c r="E1017" s="19">
        <v>2300</v>
      </c>
      <c r="F1017" s="20"/>
      <c r="G1017" s="29"/>
      <c r="H1017" s="33"/>
      <c r="I1017" s="29"/>
      <c r="J1017" s="29" t="s">
        <v>67</v>
      </c>
      <c r="AA1017" t="str">
        <f t="shared" si="15"/>
        <v>Rice</v>
      </c>
    </row>
    <row r="1018" ht="30" customHeight="1" spans="1:27">
      <c r="A1018" s="29" t="s">
        <v>25</v>
      </c>
      <c r="B1018" s="29" t="s">
        <v>400</v>
      </c>
      <c r="C1018" s="13" t="s">
        <v>426</v>
      </c>
      <c r="D1018" s="29" t="s">
        <v>421</v>
      </c>
      <c r="E1018" s="19"/>
      <c r="F1018" s="20"/>
      <c r="G1018" s="29"/>
      <c r="H1018" s="33"/>
      <c r="I1018" s="33"/>
      <c r="J1018" s="29" t="s">
        <v>75</v>
      </c>
      <c r="AA1018" t="str">
        <f t="shared" si="15"/>
        <v>Corn</v>
      </c>
    </row>
    <row r="1019" ht="30" spans="1:27">
      <c r="A1019" s="29" t="s">
        <v>25</v>
      </c>
      <c r="B1019" s="29" t="s">
        <v>400</v>
      </c>
      <c r="C1019" s="13" t="s">
        <v>426</v>
      </c>
      <c r="D1019" s="29" t="s">
        <v>70</v>
      </c>
      <c r="E1019" s="23">
        <v>11991.3196</v>
      </c>
      <c r="F1019" s="20"/>
      <c r="G1019" s="29"/>
      <c r="H1019" s="33"/>
      <c r="I1019" s="29"/>
      <c r="J1019" s="29" t="s">
        <v>64</v>
      </c>
      <c r="AA1019" t="str">
        <f t="shared" si="15"/>
        <v>Rice</v>
      </c>
    </row>
    <row r="1020" ht="30" customHeight="1" spans="1:27">
      <c r="A1020" s="29" t="s">
        <v>25</v>
      </c>
      <c r="B1020" s="29" t="s">
        <v>400</v>
      </c>
      <c r="C1020" s="13" t="s">
        <v>426</v>
      </c>
      <c r="D1020" s="29" t="s">
        <v>71</v>
      </c>
      <c r="E1020" s="23">
        <v>5257.2314</v>
      </c>
      <c r="F1020" s="20"/>
      <c r="G1020" s="29"/>
      <c r="H1020" s="33"/>
      <c r="I1020" s="29"/>
      <c r="J1020" s="29" t="s">
        <v>64</v>
      </c>
      <c r="AA1020" t="str">
        <f t="shared" si="15"/>
        <v>Rice</v>
      </c>
    </row>
    <row r="1021" ht="30" spans="1:27">
      <c r="A1021" s="29" t="s">
        <v>25</v>
      </c>
      <c r="B1021" s="29" t="s">
        <v>400</v>
      </c>
      <c r="C1021" s="13" t="s">
        <v>426</v>
      </c>
      <c r="D1021" s="29" t="s">
        <v>127</v>
      </c>
      <c r="E1021" s="19">
        <v>100</v>
      </c>
      <c r="F1021" s="20"/>
      <c r="G1021" s="29"/>
      <c r="H1021" s="33"/>
      <c r="I1021" s="29"/>
      <c r="J1021" s="29" t="s">
        <v>75</v>
      </c>
      <c r="AA1021" t="str">
        <f t="shared" si="15"/>
        <v>Corn</v>
      </c>
    </row>
    <row r="1022" ht="30" customHeight="1" spans="1:27">
      <c r="A1022" s="29" t="s">
        <v>25</v>
      </c>
      <c r="B1022" s="29" t="s">
        <v>400</v>
      </c>
      <c r="C1022" s="13" t="s">
        <v>426</v>
      </c>
      <c r="D1022" s="29" t="s">
        <v>244</v>
      </c>
      <c r="E1022" s="19">
        <v>500</v>
      </c>
      <c r="F1022" s="20"/>
      <c r="G1022" s="29"/>
      <c r="H1022" s="33"/>
      <c r="I1022" s="29"/>
      <c r="J1022" s="29" t="s">
        <v>75</v>
      </c>
      <c r="AA1022" t="str">
        <f t="shared" si="15"/>
        <v>Corn</v>
      </c>
    </row>
    <row r="1023" ht="30" customHeight="1" spans="1:27">
      <c r="A1023" s="29" t="s">
        <v>25</v>
      </c>
      <c r="B1023" s="29" t="s">
        <v>400</v>
      </c>
      <c r="C1023" s="13" t="s">
        <v>426</v>
      </c>
      <c r="D1023" s="29" t="s">
        <v>429</v>
      </c>
      <c r="E1023" s="19">
        <v>3500</v>
      </c>
      <c r="F1023" s="20"/>
      <c r="G1023" s="29"/>
      <c r="H1023" s="33"/>
      <c r="I1023" s="29"/>
      <c r="J1023" s="29" t="s">
        <v>288</v>
      </c>
      <c r="AA1023" t="str">
        <f t="shared" si="15"/>
        <v>Organic Agriculture</v>
      </c>
    </row>
    <row r="1024" ht="30" customHeight="1" spans="1:27">
      <c r="A1024" s="29" t="s">
        <v>25</v>
      </c>
      <c r="B1024" s="29" t="s">
        <v>400</v>
      </c>
      <c r="C1024" s="13" t="s">
        <v>426</v>
      </c>
      <c r="D1024" s="29" t="s">
        <v>135</v>
      </c>
      <c r="E1024" s="19">
        <v>400</v>
      </c>
      <c r="F1024" s="20"/>
      <c r="G1024" s="29"/>
      <c r="H1024" s="33"/>
      <c r="I1024" s="29"/>
      <c r="J1024" s="29" t="s">
        <v>75</v>
      </c>
      <c r="AA1024" t="str">
        <f t="shared" si="15"/>
        <v>Corn</v>
      </c>
    </row>
    <row r="1025" ht="30" customHeight="1" spans="1:27">
      <c r="A1025" s="29" t="s">
        <v>25</v>
      </c>
      <c r="B1025" s="29" t="s">
        <v>400</v>
      </c>
      <c r="C1025" s="13" t="s">
        <v>426</v>
      </c>
      <c r="D1025" s="29" t="s">
        <v>136</v>
      </c>
      <c r="E1025" s="19">
        <v>170.33</v>
      </c>
      <c r="F1025" s="20"/>
      <c r="G1025" s="29"/>
      <c r="H1025" s="33"/>
      <c r="I1025" s="29"/>
      <c r="J1025" s="29" t="s">
        <v>75</v>
      </c>
      <c r="AA1025" t="str">
        <f t="shared" si="15"/>
        <v>Corn</v>
      </c>
    </row>
    <row r="1026" ht="30" customHeight="1" spans="1:27">
      <c r="A1026" s="29" t="s">
        <v>25</v>
      </c>
      <c r="B1026" s="29" t="s">
        <v>400</v>
      </c>
      <c r="C1026" s="13" t="s">
        <v>430</v>
      </c>
      <c r="D1026" s="30" t="s">
        <v>431</v>
      </c>
      <c r="E1026" s="19"/>
      <c r="F1026" s="20">
        <v>15500</v>
      </c>
      <c r="G1026" s="29"/>
      <c r="H1026" s="29"/>
      <c r="I1026" s="29"/>
      <c r="J1026" s="29" t="s">
        <v>29</v>
      </c>
      <c r="AA1026" t="str">
        <f t="shared" si="15"/>
        <v>Farm-to-Market Road</v>
      </c>
    </row>
    <row r="1027" ht="30" customHeight="1" spans="1:27">
      <c r="A1027" s="29" t="s">
        <v>25</v>
      </c>
      <c r="B1027" s="29" t="s">
        <v>400</v>
      </c>
      <c r="C1027" s="13" t="s">
        <v>430</v>
      </c>
      <c r="D1027" s="30" t="s">
        <v>432</v>
      </c>
      <c r="E1027" s="19"/>
      <c r="F1027" s="20">
        <v>29140</v>
      </c>
      <c r="G1027" s="29"/>
      <c r="H1027" s="29"/>
      <c r="I1027" s="29"/>
      <c r="J1027" s="29" t="s">
        <v>29</v>
      </c>
      <c r="AA1027" t="str">
        <f t="shared" si="15"/>
        <v>Farm-to-Market Road</v>
      </c>
    </row>
    <row r="1028" ht="30" spans="1:27">
      <c r="A1028" s="29" t="s">
        <v>25</v>
      </c>
      <c r="B1028" s="29" t="s">
        <v>400</v>
      </c>
      <c r="C1028" s="13" t="s">
        <v>430</v>
      </c>
      <c r="D1028" s="29" t="s">
        <v>240</v>
      </c>
      <c r="E1028" s="23">
        <v>596.6226</v>
      </c>
      <c r="F1028" s="24">
        <v>76.2793</v>
      </c>
      <c r="G1028" s="29"/>
      <c r="H1028" s="33"/>
      <c r="I1028" s="33"/>
      <c r="J1028" s="29" t="s">
        <v>64</v>
      </c>
      <c r="AA1028" t="str">
        <f t="shared" si="15"/>
        <v>Rice</v>
      </c>
    </row>
    <row r="1029" spans="1:27">
      <c r="A1029" s="29" t="s">
        <v>25</v>
      </c>
      <c r="B1029" s="29" t="s">
        <v>400</v>
      </c>
      <c r="C1029" s="13" t="s">
        <v>430</v>
      </c>
      <c r="D1029" s="29" t="s">
        <v>421</v>
      </c>
      <c r="E1029" s="19"/>
      <c r="F1029" s="20"/>
      <c r="G1029" s="29"/>
      <c r="H1029" s="33"/>
      <c r="I1029" s="33"/>
      <c r="J1029" s="29" t="s">
        <v>75</v>
      </c>
      <c r="AA1029" t="str">
        <f t="shared" si="15"/>
        <v>Corn</v>
      </c>
    </row>
    <row r="1030" ht="30" spans="1:27">
      <c r="A1030" s="29" t="s">
        <v>25</v>
      </c>
      <c r="B1030" s="29" t="s">
        <v>400</v>
      </c>
      <c r="C1030" s="13" t="s">
        <v>430</v>
      </c>
      <c r="D1030" s="29" t="s">
        <v>70</v>
      </c>
      <c r="E1030" s="23">
        <v>2684.8018</v>
      </c>
      <c r="F1030" s="20"/>
      <c r="G1030" s="29"/>
      <c r="H1030" s="33"/>
      <c r="I1030" s="29"/>
      <c r="J1030" s="29" t="s">
        <v>64</v>
      </c>
      <c r="AA1030" t="str">
        <f t="shared" si="15"/>
        <v>Rice</v>
      </c>
    </row>
    <row r="1031" ht="30" customHeight="1" spans="1:27">
      <c r="A1031" s="29" t="s">
        <v>25</v>
      </c>
      <c r="B1031" s="29" t="s">
        <v>400</v>
      </c>
      <c r="C1031" s="13" t="s">
        <v>430</v>
      </c>
      <c r="D1031" s="29" t="s">
        <v>91</v>
      </c>
      <c r="E1031" s="19">
        <v>1200</v>
      </c>
      <c r="F1031" s="20"/>
      <c r="G1031" s="29"/>
      <c r="H1031" s="33"/>
      <c r="I1031" s="29"/>
      <c r="J1031" s="29" t="s">
        <v>75</v>
      </c>
      <c r="AA1031" t="str">
        <f t="shared" si="15"/>
        <v>Corn</v>
      </c>
    </row>
    <row r="1032" ht="30" customHeight="1" spans="1:27">
      <c r="A1032" s="29" t="s">
        <v>25</v>
      </c>
      <c r="B1032" s="29" t="s">
        <v>400</v>
      </c>
      <c r="C1032" s="13" t="s">
        <v>430</v>
      </c>
      <c r="D1032" s="29" t="s">
        <v>71</v>
      </c>
      <c r="E1032" s="23">
        <v>1177.0701</v>
      </c>
      <c r="F1032" s="20"/>
      <c r="G1032" s="29"/>
      <c r="H1032" s="33"/>
      <c r="I1032" s="29"/>
      <c r="J1032" s="29" t="s">
        <v>64</v>
      </c>
      <c r="AA1032" t="str">
        <f t="shared" si="15"/>
        <v>Rice</v>
      </c>
    </row>
    <row r="1033" ht="30" customHeight="1" spans="1:27">
      <c r="A1033" s="29" t="s">
        <v>25</v>
      </c>
      <c r="B1033" s="29" t="s">
        <v>400</v>
      </c>
      <c r="C1033" s="13" t="s">
        <v>430</v>
      </c>
      <c r="D1033" s="29" t="s">
        <v>365</v>
      </c>
      <c r="E1033" s="19">
        <v>1100</v>
      </c>
      <c r="F1033" s="20"/>
      <c r="G1033" s="29"/>
      <c r="H1033" s="33"/>
      <c r="I1033" s="29"/>
      <c r="J1033" s="29" t="s">
        <v>96</v>
      </c>
      <c r="AA1033" t="str">
        <f t="shared" si="15"/>
        <v>Corn</v>
      </c>
    </row>
    <row r="1034" ht="30" customHeight="1" spans="1:27">
      <c r="A1034" s="29" t="s">
        <v>25</v>
      </c>
      <c r="B1034" s="29" t="s">
        <v>400</v>
      </c>
      <c r="C1034" s="13" t="s">
        <v>430</v>
      </c>
      <c r="D1034" s="29" t="s">
        <v>367</v>
      </c>
      <c r="E1034" s="19">
        <v>2000</v>
      </c>
      <c r="F1034" s="20">
        <v>2000</v>
      </c>
      <c r="G1034" s="29"/>
      <c r="H1034" s="33"/>
      <c r="I1034" s="33"/>
      <c r="J1034" s="29" t="s">
        <v>75</v>
      </c>
      <c r="AA1034" t="str">
        <f t="shared" ref="AA1034:AA1097" si="16">_xlfn.IFS(J1034="DA-FMRDP","Farm-to-Market Road",J1034="DA-RFO2 RICE","Rice",J1034="DA-RFO2 Rice Program","Rice",J1034="DA-RFO2 CORN","Corn",J1034="DA-RFO2 Corn Program","Corn",J1034="DA-RFO2 HVCDP","High Value Crops (Vegetables/Fruits/Rootcrops)",J1034="DA-RFO2 HVCDP Export","High Value Export Crops (Dragon Fruit/Ube/Okra/Banana)",J1034="DA-RFO2 HVCDP Coffee","Coffee (HVCDP)",J1034="DA-RFO2 LIVESTOCK","Livestock (Cattle/Carabao/Swine/Poultry)",J1034="DA-RFO2 SAAD","Various Commodities (SAAD)",J1034="DA-RFO2 4K","Various Commodities (4Ks)",J1034="DA-RFO2 4KS","Various Commodities (4Ks)",J1034="DA-RFO2 HALAL","Halal Food Products",J1034="DA-RFO2 OAP","Organic Agriculture",J1034="DA-RFO2 NUPAP","Vegetables (NUPAP/Urban Agri)",TRUE,IF(ISNUMBER(SEARCH("FMR",D1034)),"Farm-to-Market Road",IF(ISNUMBER(SEARCH("RICE",D1034)),"Rice",IF(ISNUMBER(SEARCH("CORN",D1034)),"Corn",IF(ISNUMBER(SEARCH("HVCDP COFFEE",D1034)),"Coffee (HVCDP)",IF(ISNUMBER(SEARCH("HVCDP EXPORT",D1034)),"High Value Export Crops (Dragon Fruit/Ube/Okra/Banana)",IF(ISNUMBER(SEARCH("HVCDP",D1034)),"High Value Crops (Vegetables/Fruits/Rootcrops)",IF(ISNUMBER(SEARCH("LIVESTOCK",D1034)),"Livestock (Cattle/Carabao/Swine/Poultry)",IF(ISNUMBER(SEARCH("SAAD",D1034)),"Various Commodities (SAAD)",IF(ISNUMBER(SEARCH("4KS",D1034)),"Various Commodities (4Ks)",IF(ISNUMBER(SEARCH("4K",D1034)),"Various Commodities (4Ks)",IF(ISNUMBER(SEARCH("HALAL",D1034)),"Halal Food Products",IF(ISNUMBER(SEARCH("OAP",D1034)),"Organic Agriculture",IF(ISNUMBER(SEARCH("NUPAP",D1034)),"Vegetables (NUPAP/Urban Agri)",""))))))))))))))</f>
        <v>Corn</v>
      </c>
    </row>
    <row r="1035" ht="30" customHeight="1" spans="1:27">
      <c r="A1035" s="29" t="s">
        <v>25</v>
      </c>
      <c r="B1035" s="29" t="s">
        <v>400</v>
      </c>
      <c r="C1035" s="13" t="s">
        <v>430</v>
      </c>
      <c r="D1035" s="29" t="s">
        <v>433</v>
      </c>
      <c r="E1035" s="19">
        <v>450</v>
      </c>
      <c r="F1035" s="20"/>
      <c r="G1035" s="29"/>
      <c r="H1035" s="33"/>
      <c r="I1035" s="29"/>
      <c r="J1035" s="29" t="s">
        <v>75</v>
      </c>
      <c r="AA1035" t="str">
        <f t="shared" si="16"/>
        <v>Corn</v>
      </c>
    </row>
    <row r="1036" ht="30" customHeight="1" spans="1:27">
      <c r="A1036" s="29" t="s">
        <v>25</v>
      </c>
      <c r="B1036" s="29" t="s">
        <v>400</v>
      </c>
      <c r="C1036" s="13" t="s">
        <v>430</v>
      </c>
      <c r="D1036" s="29" t="s">
        <v>308</v>
      </c>
      <c r="E1036" s="19">
        <v>7000</v>
      </c>
      <c r="F1036" s="20"/>
      <c r="G1036" s="29"/>
      <c r="H1036" s="33"/>
      <c r="I1036" s="29"/>
      <c r="J1036" s="29" t="s">
        <v>288</v>
      </c>
      <c r="AA1036" t="str">
        <f t="shared" si="16"/>
        <v>Organic Agriculture</v>
      </c>
    </row>
    <row r="1037" ht="45" customHeight="1" spans="1:27">
      <c r="A1037" s="29" t="s">
        <v>25</v>
      </c>
      <c r="B1037" s="29" t="s">
        <v>400</v>
      </c>
      <c r="C1037" s="13" t="s">
        <v>430</v>
      </c>
      <c r="D1037" s="29" t="s">
        <v>103</v>
      </c>
      <c r="E1037" s="19">
        <v>1650</v>
      </c>
      <c r="F1037" s="20"/>
      <c r="G1037" s="29"/>
      <c r="H1037" s="33"/>
      <c r="I1037" s="29"/>
      <c r="J1037" s="29" t="s">
        <v>75</v>
      </c>
      <c r="AA1037" t="str">
        <f t="shared" si="16"/>
        <v>Corn</v>
      </c>
    </row>
    <row r="1038" ht="45" customHeight="1" spans="1:27">
      <c r="A1038" s="29" t="s">
        <v>25</v>
      </c>
      <c r="B1038" s="29" t="s">
        <v>400</v>
      </c>
      <c r="C1038" s="13" t="s">
        <v>430</v>
      </c>
      <c r="D1038" s="29" t="s">
        <v>74</v>
      </c>
      <c r="E1038" s="19"/>
      <c r="F1038" s="20"/>
      <c r="G1038" s="29"/>
      <c r="H1038" s="33"/>
      <c r="I1038" s="29"/>
      <c r="J1038" s="29" t="s">
        <v>75</v>
      </c>
      <c r="AA1038" t="str">
        <f t="shared" si="16"/>
        <v>Corn</v>
      </c>
    </row>
    <row r="1039" ht="30" customHeight="1" spans="1:27">
      <c r="A1039" s="29" t="s">
        <v>25</v>
      </c>
      <c r="B1039" s="29" t="s">
        <v>400</v>
      </c>
      <c r="C1039" s="13" t="s">
        <v>434</v>
      </c>
      <c r="D1039" s="30" t="s">
        <v>435</v>
      </c>
      <c r="E1039" s="19"/>
      <c r="F1039" s="20">
        <v>15500</v>
      </c>
      <c r="G1039" s="29"/>
      <c r="H1039" s="29"/>
      <c r="I1039" s="29"/>
      <c r="J1039" s="29" t="s">
        <v>29</v>
      </c>
      <c r="AA1039" t="str">
        <f t="shared" si="16"/>
        <v>Farm-to-Market Road</v>
      </c>
    </row>
    <row r="1040" ht="45" spans="1:27">
      <c r="A1040" s="29" t="s">
        <v>25</v>
      </c>
      <c r="B1040" s="29" t="s">
        <v>400</v>
      </c>
      <c r="C1040" s="13" t="s">
        <v>434</v>
      </c>
      <c r="D1040" s="30" t="s">
        <v>436</v>
      </c>
      <c r="E1040" s="19"/>
      <c r="F1040" s="20">
        <v>15500</v>
      </c>
      <c r="G1040" s="29"/>
      <c r="H1040" s="29"/>
      <c r="I1040" s="29"/>
      <c r="J1040" s="29" t="s">
        <v>29</v>
      </c>
      <c r="AA1040" t="str">
        <f t="shared" si="16"/>
        <v>Farm-to-Market Road</v>
      </c>
    </row>
    <row r="1041" ht="30" spans="1:27">
      <c r="A1041" s="29" t="s">
        <v>25</v>
      </c>
      <c r="B1041" s="29" t="s">
        <v>400</v>
      </c>
      <c r="C1041" s="13" t="s">
        <v>434</v>
      </c>
      <c r="D1041" s="29" t="s">
        <v>240</v>
      </c>
      <c r="E1041" s="23">
        <v>2187.1956</v>
      </c>
      <c r="F1041" s="24">
        <v>279.637</v>
      </c>
      <c r="G1041" s="29"/>
      <c r="H1041" s="33"/>
      <c r="I1041" s="33"/>
      <c r="J1041" s="29" t="s">
        <v>64</v>
      </c>
      <c r="AA1041" t="str">
        <f t="shared" si="16"/>
        <v>Rice</v>
      </c>
    </row>
    <row r="1042" spans="1:27">
      <c r="A1042" s="29" t="s">
        <v>25</v>
      </c>
      <c r="B1042" s="29" t="s">
        <v>400</v>
      </c>
      <c r="C1042" s="13" t="s">
        <v>434</v>
      </c>
      <c r="D1042" s="29" t="s">
        <v>171</v>
      </c>
      <c r="E1042" s="19">
        <v>62.8</v>
      </c>
      <c r="F1042" s="20"/>
      <c r="G1042" s="29"/>
      <c r="H1042" s="33"/>
      <c r="I1042" s="29"/>
      <c r="J1042" s="29" t="s">
        <v>166</v>
      </c>
      <c r="AA1042" t="str">
        <f t="shared" si="16"/>
        <v>Various Commodities (4Ks)</v>
      </c>
    </row>
    <row r="1043" spans="1:27">
      <c r="A1043" s="29" t="s">
        <v>25</v>
      </c>
      <c r="B1043" s="29" t="s">
        <v>400</v>
      </c>
      <c r="C1043" s="13" t="s">
        <v>434</v>
      </c>
      <c r="D1043" s="29" t="s">
        <v>172</v>
      </c>
      <c r="E1043" s="19">
        <v>50</v>
      </c>
      <c r="F1043" s="20"/>
      <c r="G1043" s="29"/>
      <c r="H1043" s="33"/>
      <c r="I1043" s="29"/>
      <c r="J1043" s="29" t="s">
        <v>166</v>
      </c>
      <c r="AA1043" t="str">
        <f t="shared" si="16"/>
        <v>Various Commodities (4Ks)</v>
      </c>
    </row>
    <row r="1044" spans="1:27">
      <c r="A1044" s="29" t="s">
        <v>25</v>
      </c>
      <c r="B1044" s="29" t="s">
        <v>400</v>
      </c>
      <c r="C1044" s="13" t="s">
        <v>434</v>
      </c>
      <c r="D1044" s="29" t="s">
        <v>421</v>
      </c>
      <c r="E1044" s="19"/>
      <c r="F1044" s="20"/>
      <c r="G1044" s="29"/>
      <c r="H1044" s="33"/>
      <c r="I1044" s="33"/>
      <c r="J1044" s="29" t="s">
        <v>75</v>
      </c>
      <c r="AA1044" t="str">
        <f t="shared" si="16"/>
        <v>Corn</v>
      </c>
    </row>
    <row r="1045" ht="30" spans="1:27">
      <c r="A1045" s="29" t="s">
        <v>25</v>
      </c>
      <c r="B1045" s="29" t="s">
        <v>400</v>
      </c>
      <c r="C1045" s="13" t="s">
        <v>434</v>
      </c>
      <c r="D1045" s="29" t="s">
        <v>70</v>
      </c>
      <c r="E1045" s="23">
        <v>9842.3803</v>
      </c>
      <c r="F1045" s="20"/>
      <c r="G1045" s="29"/>
      <c r="H1045" s="33"/>
      <c r="I1045" s="29"/>
      <c r="J1045" s="29" t="s">
        <v>64</v>
      </c>
      <c r="AA1045" t="str">
        <f t="shared" si="16"/>
        <v>Rice</v>
      </c>
    </row>
    <row r="1046" ht="30" spans="1:27">
      <c r="A1046" s="29" t="s">
        <v>25</v>
      </c>
      <c r="B1046" s="29" t="s">
        <v>400</v>
      </c>
      <c r="C1046" s="13" t="s">
        <v>434</v>
      </c>
      <c r="D1046" s="29" t="s">
        <v>71</v>
      </c>
      <c r="E1046" s="23">
        <v>4315.094</v>
      </c>
      <c r="F1046" s="20"/>
      <c r="G1046" s="29"/>
      <c r="H1046" s="33"/>
      <c r="I1046" s="29"/>
      <c r="J1046" s="29" t="s">
        <v>64</v>
      </c>
      <c r="AA1046" t="str">
        <f t="shared" si="16"/>
        <v>Rice</v>
      </c>
    </row>
    <row r="1047" spans="1:27">
      <c r="A1047" s="29" t="s">
        <v>25</v>
      </c>
      <c r="B1047" s="29" t="s">
        <v>400</v>
      </c>
      <c r="C1047" s="13" t="s">
        <v>434</v>
      </c>
      <c r="D1047" s="29" t="s">
        <v>437</v>
      </c>
      <c r="E1047" s="19">
        <v>20</v>
      </c>
      <c r="F1047" s="20"/>
      <c r="G1047" s="29"/>
      <c r="H1047" s="33"/>
      <c r="I1047" s="29"/>
      <c r="J1047" s="29" t="s">
        <v>166</v>
      </c>
      <c r="AA1047" t="str">
        <f t="shared" si="16"/>
        <v>Various Commodities (4Ks)</v>
      </c>
    </row>
    <row r="1048" spans="1:27">
      <c r="A1048" s="29" t="s">
        <v>25</v>
      </c>
      <c r="B1048" s="29" t="s">
        <v>400</v>
      </c>
      <c r="C1048" s="13" t="s">
        <v>434</v>
      </c>
      <c r="D1048" s="29" t="s">
        <v>175</v>
      </c>
      <c r="E1048" s="19">
        <v>148.336</v>
      </c>
      <c r="F1048" s="20"/>
      <c r="G1048" s="29"/>
      <c r="H1048" s="33"/>
      <c r="I1048" s="29"/>
      <c r="J1048" s="29" t="s">
        <v>166</v>
      </c>
      <c r="AA1048" t="str">
        <f t="shared" si="16"/>
        <v>Various Commodities (4Ks)</v>
      </c>
    </row>
    <row r="1049" spans="1:27">
      <c r="A1049" s="29" t="s">
        <v>25</v>
      </c>
      <c r="B1049" s="29" t="s">
        <v>400</v>
      </c>
      <c r="C1049" s="13" t="s">
        <v>434</v>
      </c>
      <c r="D1049" s="29" t="s">
        <v>438</v>
      </c>
      <c r="E1049" s="19">
        <v>120</v>
      </c>
      <c r="F1049" s="20"/>
      <c r="G1049" s="29"/>
      <c r="H1049" s="33"/>
      <c r="I1049" s="29"/>
      <c r="J1049" s="29" t="s">
        <v>166</v>
      </c>
      <c r="AA1049" t="str">
        <f t="shared" si="16"/>
        <v>Various Commodities (4Ks)</v>
      </c>
    </row>
    <row r="1050" spans="1:27">
      <c r="A1050" s="29" t="s">
        <v>25</v>
      </c>
      <c r="B1050" s="29" t="s">
        <v>400</v>
      </c>
      <c r="C1050" s="13" t="s">
        <v>434</v>
      </c>
      <c r="D1050" s="29" t="s">
        <v>176</v>
      </c>
      <c r="E1050" s="19">
        <v>200</v>
      </c>
      <c r="F1050" s="20"/>
      <c r="G1050" s="29"/>
      <c r="H1050" s="33"/>
      <c r="I1050" s="29"/>
      <c r="J1050" s="29" t="s">
        <v>166</v>
      </c>
      <c r="AA1050" t="str">
        <f t="shared" si="16"/>
        <v>Various Commodities (4Ks)</v>
      </c>
    </row>
    <row r="1051" ht="30" customHeight="1" spans="1:27">
      <c r="A1051" s="29" t="s">
        <v>25</v>
      </c>
      <c r="B1051" s="29" t="s">
        <v>400</v>
      </c>
      <c r="C1051" s="13" t="s">
        <v>434</v>
      </c>
      <c r="D1051" s="29" t="s">
        <v>177</v>
      </c>
      <c r="E1051" s="19">
        <v>20</v>
      </c>
      <c r="F1051" s="20"/>
      <c r="G1051" s="29"/>
      <c r="H1051" s="33"/>
      <c r="I1051" s="29"/>
      <c r="J1051" s="29" t="s">
        <v>166</v>
      </c>
      <c r="AA1051" t="str">
        <f t="shared" si="16"/>
        <v>Various Commodities (4Ks)</v>
      </c>
    </row>
    <row r="1052" ht="30" customHeight="1" spans="1:27">
      <c r="A1052" s="29" t="s">
        <v>25</v>
      </c>
      <c r="B1052" s="29" t="s">
        <v>400</v>
      </c>
      <c r="C1052" s="13" t="s">
        <v>434</v>
      </c>
      <c r="D1052" s="29" t="s">
        <v>414</v>
      </c>
      <c r="E1052" s="19">
        <v>1000</v>
      </c>
      <c r="F1052" s="20"/>
      <c r="G1052" s="29"/>
      <c r="H1052" s="33"/>
      <c r="I1052" s="29"/>
      <c r="J1052" s="29" t="s">
        <v>35</v>
      </c>
      <c r="AA1052" t="str">
        <f t="shared" si="16"/>
        <v>High Value Crops (Vegetables/Fruits/Rootcrops)</v>
      </c>
    </row>
    <row r="1053" ht="45" customHeight="1" spans="1:27">
      <c r="A1053" s="29" t="s">
        <v>25</v>
      </c>
      <c r="B1053" s="29" t="s">
        <v>400</v>
      </c>
      <c r="C1053" s="13" t="s">
        <v>434</v>
      </c>
      <c r="D1053" s="29" t="s">
        <v>180</v>
      </c>
      <c r="E1053" s="19">
        <v>1200</v>
      </c>
      <c r="F1053" s="20"/>
      <c r="G1053" s="29"/>
      <c r="H1053" s="33"/>
      <c r="I1053" s="29"/>
      <c r="J1053" s="29" t="s">
        <v>166</v>
      </c>
      <c r="AA1053" t="str">
        <f t="shared" si="16"/>
        <v>Various Commodities (4Ks)</v>
      </c>
    </row>
    <row r="1054" ht="30" customHeight="1" spans="1:27">
      <c r="A1054" s="29" t="s">
        <v>25</v>
      </c>
      <c r="B1054" s="29" t="s">
        <v>400</v>
      </c>
      <c r="C1054" s="13" t="s">
        <v>434</v>
      </c>
      <c r="D1054" s="29" t="s">
        <v>181</v>
      </c>
      <c r="E1054" s="19">
        <v>687.83</v>
      </c>
      <c r="F1054" s="20"/>
      <c r="G1054" s="29"/>
      <c r="H1054" s="33"/>
      <c r="I1054" s="29"/>
      <c r="J1054" s="29" t="s">
        <v>166</v>
      </c>
      <c r="AA1054" t="str">
        <f t="shared" si="16"/>
        <v>Various Commodities (4Ks)</v>
      </c>
    </row>
    <row r="1055" ht="30" customHeight="1" spans="1:27">
      <c r="A1055" s="29" t="s">
        <v>25</v>
      </c>
      <c r="B1055" s="29" t="s">
        <v>400</v>
      </c>
      <c r="C1055" s="13" t="s">
        <v>439</v>
      </c>
      <c r="D1055" s="30" t="s">
        <v>440</v>
      </c>
      <c r="E1055" s="19"/>
      <c r="F1055" s="20">
        <v>17050</v>
      </c>
      <c r="G1055" s="29"/>
      <c r="H1055" s="29"/>
      <c r="I1055" s="29"/>
      <c r="J1055" s="29" t="s">
        <v>29</v>
      </c>
      <c r="AA1055" t="str">
        <f t="shared" si="16"/>
        <v>Farm-to-Market Road</v>
      </c>
    </row>
    <row r="1056" ht="30" spans="1:27">
      <c r="A1056" s="29" t="s">
        <v>25</v>
      </c>
      <c r="B1056" s="29" t="s">
        <v>400</v>
      </c>
      <c r="C1056" s="13" t="s">
        <v>439</v>
      </c>
      <c r="D1056" s="30" t="s">
        <v>441</v>
      </c>
      <c r="E1056" s="19">
        <v>48050</v>
      </c>
      <c r="F1056" s="20"/>
      <c r="G1056" s="29"/>
      <c r="H1056" s="29"/>
      <c r="I1056" s="29"/>
      <c r="J1056" s="29" t="s">
        <v>29</v>
      </c>
      <c r="AA1056" t="str">
        <f t="shared" si="16"/>
        <v>Farm-to-Market Road</v>
      </c>
    </row>
    <row r="1057" ht="30" spans="1:27">
      <c r="A1057" s="29" t="s">
        <v>25</v>
      </c>
      <c r="B1057" s="29" t="s">
        <v>400</v>
      </c>
      <c r="C1057" s="13" t="s">
        <v>439</v>
      </c>
      <c r="D1057" s="29" t="s">
        <v>240</v>
      </c>
      <c r="E1057" s="23">
        <v>1497.193</v>
      </c>
      <c r="F1057" s="24">
        <v>191.4189</v>
      </c>
      <c r="G1057" s="29"/>
      <c r="H1057" s="33"/>
      <c r="I1057" s="33"/>
      <c r="J1057" s="29" t="s">
        <v>64</v>
      </c>
      <c r="AA1057" t="str">
        <f t="shared" si="16"/>
        <v>Rice</v>
      </c>
    </row>
    <row r="1058" ht="30" customHeight="1" spans="1:27">
      <c r="A1058" s="29" t="s">
        <v>25</v>
      </c>
      <c r="B1058" s="29" t="s">
        <v>400</v>
      </c>
      <c r="C1058" s="13" t="s">
        <v>439</v>
      </c>
      <c r="D1058" s="29" t="s">
        <v>70</v>
      </c>
      <c r="E1058" s="23">
        <v>6737.3685</v>
      </c>
      <c r="F1058" s="20"/>
      <c r="G1058" s="29"/>
      <c r="H1058" s="33"/>
      <c r="I1058" s="29"/>
      <c r="J1058" s="29" t="s">
        <v>64</v>
      </c>
      <c r="AA1058" t="str">
        <f t="shared" si="16"/>
        <v>Rice</v>
      </c>
    </row>
    <row r="1059" ht="30" spans="1:27">
      <c r="A1059" s="29" t="s">
        <v>25</v>
      </c>
      <c r="B1059" s="29" t="s">
        <v>400</v>
      </c>
      <c r="C1059" s="13" t="s">
        <v>439</v>
      </c>
      <c r="D1059" s="29" t="s">
        <v>71</v>
      </c>
      <c r="E1059" s="23">
        <v>2953.7954</v>
      </c>
      <c r="F1059" s="20"/>
      <c r="G1059" s="29"/>
      <c r="H1059" s="33"/>
      <c r="I1059" s="29"/>
      <c r="J1059" s="29" t="s">
        <v>64</v>
      </c>
      <c r="AA1059" t="str">
        <f t="shared" si="16"/>
        <v>Rice</v>
      </c>
    </row>
    <row r="1060" ht="30" customHeight="1" spans="1:27">
      <c r="A1060" s="29" t="s">
        <v>25</v>
      </c>
      <c r="B1060" s="29" t="s">
        <v>400</v>
      </c>
      <c r="C1060" s="13" t="s">
        <v>439</v>
      </c>
      <c r="D1060" s="29" t="s">
        <v>197</v>
      </c>
      <c r="E1060" s="19">
        <v>2000</v>
      </c>
      <c r="F1060" s="20"/>
      <c r="G1060" s="29"/>
      <c r="H1060" s="33"/>
      <c r="I1060" s="29"/>
      <c r="J1060" s="29" t="s">
        <v>35</v>
      </c>
      <c r="AA1060" t="str">
        <f t="shared" si="16"/>
        <v>High Value Crops (Vegetables/Fruits/Rootcrops)</v>
      </c>
    </row>
    <row r="1061" ht="30" customHeight="1" spans="1:27">
      <c r="A1061" s="29" t="s">
        <v>25</v>
      </c>
      <c r="B1061" s="29" t="s">
        <v>400</v>
      </c>
      <c r="C1061" s="13" t="s">
        <v>439</v>
      </c>
      <c r="D1061" s="29" t="s">
        <v>98</v>
      </c>
      <c r="E1061" s="19">
        <v>75</v>
      </c>
      <c r="F1061" s="20"/>
      <c r="G1061" s="29"/>
      <c r="H1061" s="33"/>
      <c r="I1061" s="29"/>
      <c r="J1061" s="29" t="s">
        <v>35</v>
      </c>
      <c r="AA1061" t="str">
        <f t="shared" si="16"/>
        <v>High Value Crops (Vegetables/Fruits/Rootcrops)</v>
      </c>
    </row>
    <row r="1062" ht="30" customHeight="1" spans="1:27">
      <c r="A1062" s="29" t="s">
        <v>25</v>
      </c>
      <c r="B1062" s="29" t="s">
        <v>400</v>
      </c>
      <c r="C1062" s="13" t="s">
        <v>439</v>
      </c>
      <c r="D1062" s="29" t="s">
        <v>442</v>
      </c>
      <c r="E1062" s="19">
        <v>13500</v>
      </c>
      <c r="F1062" s="20"/>
      <c r="G1062" s="29"/>
      <c r="H1062" s="33"/>
      <c r="I1062" s="29"/>
      <c r="J1062" s="29" t="s">
        <v>35</v>
      </c>
      <c r="AA1062" t="str">
        <f t="shared" si="16"/>
        <v>High Value Crops (Vegetables/Fruits/Rootcrops)</v>
      </c>
    </row>
    <row r="1063" spans="1:27">
      <c r="A1063" s="29" t="s">
        <v>25</v>
      </c>
      <c r="B1063" s="29" t="s">
        <v>400</v>
      </c>
      <c r="C1063" s="13" t="s">
        <v>439</v>
      </c>
      <c r="D1063" s="29" t="s">
        <v>346</v>
      </c>
      <c r="E1063" s="19">
        <v>500</v>
      </c>
      <c r="F1063" s="20"/>
      <c r="G1063" s="29"/>
      <c r="H1063" s="33"/>
      <c r="I1063" s="29"/>
      <c r="J1063" s="29" t="s">
        <v>35</v>
      </c>
      <c r="AA1063" t="str">
        <f t="shared" si="16"/>
        <v>High Value Crops (Vegetables/Fruits/Rootcrops)</v>
      </c>
    </row>
    <row r="1064" ht="30" spans="1:27">
      <c r="A1064" s="29" t="s">
        <v>25</v>
      </c>
      <c r="B1064" s="29" t="s">
        <v>400</v>
      </c>
      <c r="C1064" s="13" t="s">
        <v>439</v>
      </c>
      <c r="D1064" s="29" t="s">
        <v>409</v>
      </c>
      <c r="E1064" s="19"/>
      <c r="F1064" s="20">
        <v>5500</v>
      </c>
      <c r="G1064" s="29"/>
      <c r="H1064" s="29"/>
      <c r="I1064" s="33"/>
      <c r="J1064" s="29" t="s">
        <v>410</v>
      </c>
      <c r="AA1064" t="str">
        <f t="shared" si="16"/>
        <v>Halal Food Products</v>
      </c>
    </row>
    <row r="1065" ht="30" spans="1:27">
      <c r="A1065" s="29" t="s">
        <v>25</v>
      </c>
      <c r="B1065" s="29" t="s">
        <v>400</v>
      </c>
      <c r="C1065" s="13" t="s">
        <v>439</v>
      </c>
      <c r="D1065" s="29" t="s">
        <v>411</v>
      </c>
      <c r="E1065" s="19">
        <v>2705.4</v>
      </c>
      <c r="F1065" s="20"/>
      <c r="G1065" s="29"/>
      <c r="H1065" s="33"/>
      <c r="I1065" s="29"/>
      <c r="J1065" s="29" t="s">
        <v>412</v>
      </c>
      <c r="AA1065" t="str">
        <f t="shared" si="16"/>
        <v>Coffee (HVCDP)</v>
      </c>
    </row>
    <row r="1066" ht="30" spans="1:27">
      <c r="A1066" s="29" t="s">
        <v>25</v>
      </c>
      <c r="B1066" s="29" t="s">
        <v>400</v>
      </c>
      <c r="C1066" s="13" t="s">
        <v>439</v>
      </c>
      <c r="D1066" s="29" t="s">
        <v>413</v>
      </c>
      <c r="E1066" s="19">
        <v>1844.6</v>
      </c>
      <c r="F1066" s="20"/>
      <c r="G1066" s="29"/>
      <c r="H1066" s="33"/>
      <c r="I1066" s="29"/>
      <c r="J1066" s="29" t="s">
        <v>412</v>
      </c>
      <c r="AA1066" t="str">
        <f t="shared" si="16"/>
        <v>Coffee (HVCDP)</v>
      </c>
    </row>
    <row r="1067" ht="30" customHeight="1" spans="1:27">
      <c r="A1067" s="29" t="s">
        <v>25</v>
      </c>
      <c r="B1067" s="29" t="s">
        <v>400</v>
      </c>
      <c r="C1067" s="13" t="s">
        <v>439</v>
      </c>
      <c r="D1067" s="29" t="s">
        <v>73</v>
      </c>
      <c r="E1067" s="19">
        <v>33430</v>
      </c>
      <c r="F1067" s="20"/>
      <c r="G1067" s="29"/>
      <c r="H1067" s="33"/>
      <c r="I1067" s="29"/>
      <c r="J1067" s="29" t="s">
        <v>64</v>
      </c>
      <c r="AA1067" t="str">
        <f t="shared" si="16"/>
        <v>Rice</v>
      </c>
    </row>
    <row r="1068" ht="30" customHeight="1" spans="1:27">
      <c r="A1068" s="29" t="s">
        <v>25</v>
      </c>
      <c r="B1068" s="29" t="s">
        <v>400</v>
      </c>
      <c r="C1068" s="13" t="s">
        <v>439</v>
      </c>
      <c r="D1068" s="29" t="s">
        <v>123</v>
      </c>
      <c r="E1068" s="19">
        <v>2450</v>
      </c>
      <c r="F1068" s="20"/>
      <c r="G1068" s="29"/>
      <c r="H1068" s="33"/>
      <c r="I1068" s="29"/>
      <c r="J1068" s="29" t="s">
        <v>64</v>
      </c>
      <c r="AA1068" t="str">
        <f t="shared" si="16"/>
        <v>Rice</v>
      </c>
    </row>
    <row r="1069" ht="30" customHeight="1" spans="1:27">
      <c r="A1069" s="29" t="s">
        <v>25</v>
      </c>
      <c r="B1069" s="29" t="s">
        <v>400</v>
      </c>
      <c r="C1069" s="13" t="s">
        <v>439</v>
      </c>
      <c r="D1069" s="29" t="s">
        <v>414</v>
      </c>
      <c r="E1069" s="19">
        <v>1000</v>
      </c>
      <c r="F1069" s="20"/>
      <c r="G1069" s="29"/>
      <c r="H1069" s="33"/>
      <c r="I1069" s="29"/>
      <c r="J1069" s="29" t="s">
        <v>35</v>
      </c>
      <c r="AA1069" t="str">
        <f t="shared" si="16"/>
        <v>High Value Crops (Vegetables/Fruits/Rootcrops)</v>
      </c>
    </row>
    <row r="1070" ht="30" customHeight="1" spans="1:27">
      <c r="A1070" s="29" t="s">
        <v>25</v>
      </c>
      <c r="B1070" s="29" t="s">
        <v>400</v>
      </c>
      <c r="C1070" s="13" t="s">
        <v>439</v>
      </c>
      <c r="D1070" s="29" t="s">
        <v>36</v>
      </c>
      <c r="E1070" s="19">
        <v>2500</v>
      </c>
      <c r="F1070" s="20"/>
      <c r="G1070" s="29"/>
      <c r="H1070" s="33"/>
      <c r="I1070" s="29"/>
      <c r="J1070" s="29" t="s">
        <v>35</v>
      </c>
      <c r="AA1070" t="str">
        <f t="shared" si="16"/>
        <v>High Value Crops (Vegetables/Fruits/Rootcrops)</v>
      </c>
    </row>
    <row r="1071" ht="45" customHeight="1" spans="1:27">
      <c r="A1071" s="29" t="s">
        <v>25</v>
      </c>
      <c r="B1071" s="29" t="s">
        <v>400</v>
      </c>
      <c r="C1071" s="13" t="s">
        <v>439</v>
      </c>
      <c r="D1071" s="29" t="s">
        <v>418</v>
      </c>
      <c r="E1071" s="19">
        <v>12000</v>
      </c>
      <c r="F1071" s="20"/>
      <c r="G1071" s="29"/>
      <c r="H1071" s="33"/>
      <c r="I1071" s="29"/>
      <c r="J1071" s="29" t="s">
        <v>35</v>
      </c>
      <c r="AA1071" t="str">
        <f t="shared" si="16"/>
        <v>High Value Crops (Vegetables/Fruits/Rootcrops)</v>
      </c>
    </row>
    <row r="1072" ht="30" customHeight="1" spans="1:27">
      <c r="A1072" s="29" t="s">
        <v>25</v>
      </c>
      <c r="B1072" s="29" t="s">
        <v>400</v>
      </c>
      <c r="C1072" s="13" t="s">
        <v>443</v>
      </c>
      <c r="D1072" s="30" t="s">
        <v>444</v>
      </c>
      <c r="E1072" s="19">
        <v>15500</v>
      </c>
      <c r="F1072" s="20"/>
      <c r="G1072" s="29"/>
      <c r="H1072" s="29"/>
      <c r="I1072" s="29"/>
      <c r="J1072" s="29" t="s">
        <v>29</v>
      </c>
      <c r="AA1072" t="str">
        <f t="shared" si="16"/>
        <v>Farm-to-Market Road</v>
      </c>
    </row>
    <row r="1073" ht="45" spans="1:27">
      <c r="A1073" s="29" t="s">
        <v>25</v>
      </c>
      <c r="B1073" s="29" t="s">
        <v>400</v>
      </c>
      <c r="C1073" s="13" t="s">
        <v>443</v>
      </c>
      <c r="D1073" s="30" t="s">
        <v>445</v>
      </c>
      <c r="E1073" s="19"/>
      <c r="F1073" s="20">
        <v>18445</v>
      </c>
      <c r="G1073" s="29"/>
      <c r="H1073" s="29"/>
      <c r="I1073" s="29"/>
      <c r="J1073" s="29" t="s">
        <v>29</v>
      </c>
      <c r="AA1073" t="str">
        <f t="shared" si="16"/>
        <v>Farm-to-Market Road</v>
      </c>
    </row>
    <row r="1074" ht="45" customHeight="1" spans="1:27">
      <c r="A1074" s="29" t="s">
        <v>25</v>
      </c>
      <c r="B1074" s="29" t="s">
        <v>400</v>
      </c>
      <c r="C1074" s="13" t="s">
        <v>443</v>
      </c>
      <c r="D1074" s="29" t="s">
        <v>398</v>
      </c>
      <c r="E1074" s="19">
        <v>3400</v>
      </c>
      <c r="F1074" s="20"/>
      <c r="G1074" s="29"/>
      <c r="H1074" s="33"/>
      <c r="I1074" s="29"/>
      <c r="J1074" s="29" t="s">
        <v>134</v>
      </c>
      <c r="AA1074" t="str">
        <f t="shared" si="16"/>
        <v>High Value Export Crops (Dragon Fruit/Ube/Okra/Banana)</v>
      </c>
    </row>
    <row r="1075" ht="30" customHeight="1" spans="1:27">
      <c r="A1075" s="29" t="s">
        <v>25</v>
      </c>
      <c r="B1075" s="29" t="s">
        <v>400</v>
      </c>
      <c r="C1075" s="13" t="s">
        <v>443</v>
      </c>
      <c r="D1075" s="29" t="s">
        <v>240</v>
      </c>
      <c r="E1075" s="23">
        <v>1940.5798</v>
      </c>
      <c r="F1075" s="24">
        <v>248.1067</v>
      </c>
      <c r="G1075" s="29"/>
      <c r="H1075" s="33"/>
      <c r="I1075" s="33"/>
      <c r="J1075" s="29" t="s">
        <v>64</v>
      </c>
      <c r="AA1075" t="str">
        <f t="shared" si="16"/>
        <v>Rice</v>
      </c>
    </row>
    <row r="1076" ht="30" customHeight="1" spans="1:27">
      <c r="A1076" s="29" t="s">
        <v>25</v>
      </c>
      <c r="B1076" s="29" t="s">
        <v>400</v>
      </c>
      <c r="C1076" s="13" t="s">
        <v>443</v>
      </c>
      <c r="D1076" s="29" t="s">
        <v>446</v>
      </c>
      <c r="E1076" s="19"/>
      <c r="F1076" s="20">
        <v>500</v>
      </c>
      <c r="G1076" s="29"/>
      <c r="H1076" s="29"/>
      <c r="I1076" s="33"/>
      <c r="J1076" s="29" t="s">
        <v>410</v>
      </c>
      <c r="AA1076" t="str">
        <f t="shared" si="16"/>
        <v>Halal Food Products</v>
      </c>
    </row>
    <row r="1077" spans="1:27">
      <c r="A1077" s="29" t="s">
        <v>25</v>
      </c>
      <c r="B1077" s="29" t="s">
        <v>400</v>
      </c>
      <c r="C1077" s="13" t="s">
        <v>443</v>
      </c>
      <c r="D1077" s="29" t="s">
        <v>421</v>
      </c>
      <c r="E1077" s="19"/>
      <c r="F1077" s="20"/>
      <c r="G1077" s="29"/>
      <c r="H1077" s="33"/>
      <c r="I1077" s="33"/>
      <c r="J1077" s="29" t="s">
        <v>75</v>
      </c>
      <c r="AA1077" t="str">
        <f t="shared" si="16"/>
        <v>Corn</v>
      </c>
    </row>
    <row r="1078" ht="30" customHeight="1" spans="1:27">
      <c r="A1078" s="29" t="s">
        <v>25</v>
      </c>
      <c r="B1078" s="29" t="s">
        <v>400</v>
      </c>
      <c r="C1078" s="13" t="s">
        <v>443</v>
      </c>
      <c r="D1078" s="29" t="s">
        <v>70</v>
      </c>
      <c r="E1078" s="23">
        <v>8732.6092</v>
      </c>
      <c r="F1078" s="20"/>
      <c r="G1078" s="29"/>
      <c r="H1078" s="33"/>
      <c r="I1078" s="29"/>
      <c r="J1078" s="29" t="s">
        <v>64</v>
      </c>
      <c r="AA1078" t="str">
        <f t="shared" si="16"/>
        <v>Rice</v>
      </c>
    </row>
    <row r="1079" ht="30" customHeight="1" spans="1:27">
      <c r="A1079" s="29" t="s">
        <v>25</v>
      </c>
      <c r="B1079" s="29" t="s">
        <v>400</v>
      </c>
      <c r="C1079" s="13" t="s">
        <v>443</v>
      </c>
      <c r="D1079" s="29" t="s">
        <v>447</v>
      </c>
      <c r="E1079" s="19">
        <v>3780</v>
      </c>
      <c r="F1079" s="20"/>
      <c r="G1079" s="29"/>
      <c r="H1079" s="33"/>
      <c r="I1079" s="29"/>
      <c r="J1079" s="29" t="s">
        <v>67</v>
      </c>
      <c r="AA1079" t="str">
        <f t="shared" si="16"/>
        <v>Rice</v>
      </c>
    </row>
    <row r="1080" ht="30" customHeight="1" spans="1:27">
      <c r="A1080" s="29" t="s">
        <v>25</v>
      </c>
      <c r="B1080" s="29" t="s">
        <v>400</v>
      </c>
      <c r="C1080" s="13" t="s">
        <v>443</v>
      </c>
      <c r="D1080" s="29" t="s">
        <v>71</v>
      </c>
      <c r="E1080" s="23">
        <v>3828.5484</v>
      </c>
      <c r="F1080" s="20"/>
      <c r="G1080" s="29"/>
      <c r="H1080" s="33"/>
      <c r="I1080" s="29"/>
      <c r="J1080" s="29" t="s">
        <v>64</v>
      </c>
      <c r="AA1080" t="str">
        <f t="shared" si="16"/>
        <v>Rice</v>
      </c>
    </row>
    <row r="1081" ht="30" customHeight="1" spans="1:27">
      <c r="A1081" s="29" t="s">
        <v>25</v>
      </c>
      <c r="B1081" s="29" t="s">
        <v>400</v>
      </c>
      <c r="C1081" s="13" t="s">
        <v>443</v>
      </c>
      <c r="D1081" s="29" t="s">
        <v>409</v>
      </c>
      <c r="E1081" s="19"/>
      <c r="F1081" s="20">
        <v>5500</v>
      </c>
      <c r="G1081" s="29"/>
      <c r="H1081" s="29"/>
      <c r="I1081" s="33"/>
      <c r="J1081" s="29" t="s">
        <v>410</v>
      </c>
      <c r="AA1081" t="str">
        <f t="shared" si="16"/>
        <v>Halal Food Products</v>
      </c>
    </row>
    <row r="1082" ht="30" spans="1:27">
      <c r="A1082" s="29" t="s">
        <v>25</v>
      </c>
      <c r="B1082" s="29" t="s">
        <v>400</v>
      </c>
      <c r="C1082" s="13" t="s">
        <v>443</v>
      </c>
      <c r="D1082" s="29" t="s">
        <v>411</v>
      </c>
      <c r="E1082" s="19">
        <v>2705.4</v>
      </c>
      <c r="F1082" s="20"/>
      <c r="G1082" s="29"/>
      <c r="H1082" s="33"/>
      <c r="I1082" s="29"/>
      <c r="J1082" s="29" t="s">
        <v>412</v>
      </c>
      <c r="AA1082" t="str">
        <f t="shared" si="16"/>
        <v>Coffee (HVCDP)</v>
      </c>
    </row>
    <row r="1083" ht="30" spans="1:27">
      <c r="A1083" s="29" t="s">
        <v>25</v>
      </c>
      <c r="B1083" s="29" t="s">
        <v>400</v>
      </c>
      <c r="C1083" s="13" t="s">
        <v>443</v>
      </c>
      <c r="D1083" s="29" t="s">
        <v>413</v>
      </c>
      <c r="E1083" s="19">
        <v>1844.6</v>
      </c>
      <c r="F1083" s="20"/>
      <c r="G1083" s="29"/>
      <c r="H1083" s="33"/>
      <c r="I1083" s="29"/>
      <c r="J1083" s="29" t="s">
        <v>412</v>
      </c>
      <c r="AA1083" t="str">
        <f t="shared" si="16"/>
        <v>Coffee (HVCDP)</v>
      </c>
    </row>
    <row r="1084" ht="30" customHeight="1" spans="1:27">
      <c r="A1084" s="29" t="s">
        <v>25</v>
      </c>
      <c r="B1084" s="29" t="s">
        <v>400</v>
      </c>
      <c r="C1084" s="13" t="s">
        <v>443</v>
      </c>
      <c r="D1084" s="29" t="s">
        <v>414</v>
      </c>
      <c r="E1084" s="19">
        <v>1000</v>
      </c>
      <c r="F1084" s="20"/>
      <c r="G1084" s="29"/>
      <c r="H1084" s="33"/>
      <c r="I1084" s="29"/>
      <c r="J1084" s="29" t="s">
        <v>35</v>
      </c>
      <c r="AA1084" t="str">
        <f t="shared" si="16"/>
        <v>High Value Crops (Vegetables/Fruits/Rootcrops)</v>
      </c>
    </row>
    <row r="1085" ht="30" customHeight="1" spans="1:27">
      <c r="A1085" s="29" t="s">
        <v>25</v>
      </c>
      <c r="B1085" s="29" t="s">
        <v>400</v>
      </c>
      <c r="C1085" s="13" t="s">
        <v>443</v>
      </c>
      <c r="D1085" s="29" t="s">
        <v>205</v>
      </c>
      <c r="E1085" s="19">
        <v>1500</v>
      </c>
      <c r="F1085" s="20"/>
      <c r="G1085" s="29"/>
      <c r="H1085" s="33"/>
      <c r="I1085" s="29"/>
      <c r="J1085" s="29" t="s">
        <v>35</v>
      </c>
      <c r="AA1085" t="str">
        <f t="shared" si="16"/>
        <v>High Value Crops (Vegetables/Fruits/Rootcrops)</v>
      </c>
    </row>
    <row r="1086" ht="30" customHeight="1" spans="1:27">
      <c r="A1086" s="29" t="s">
        <v>25</v>
      </c>
      <c r="B1086" s="29" t="s">
        <v>400</v>
      </c>
      <c r="C1086" s="13" t="s">
        <v>443</v>
      </c>
      <c r="D1086" s="29" t="s">
        <v>448</v>
      </c>
      <c r="E1086" s="19"/>
      <c r="F1086" s="20">
        <v>50</v>
      </c>
      <c r="G1086" s="29"/>
      <c r="H1086" s="29"/>
      <c r="I1086" s="33"/>
      <c r="J1086" s="29" t="s">
        <v>410</v>
      </c>
      <c r="AA1086" t="str">
        <f t="shared" si="16"/>
        <v>Halal Food Products</v>
      </c>
    </row>
    <row r="1087" ht="45" customHeight="1" spans="1:27">
      <c r="A1087" s="29" t="s">
        <v>25</v>
      </c>
      <c r="B1087" s="29" t="s">
        <v>400</v>
      </c>
      <c r="C1087" s="13" t="s">
        <v>443</v>
      </c>
      <c r="D1087" s="29" t="s">
        <v>449</v>
      </c>
      <c r="E1087" s="19"/>
      <c r="F1087" s="20">
        <v>50</v>
      </c>
      <c r="G1087" s="29"/>
      <c r="H1087" s="29"/>
      <c r="I1087" s="33"/>
      <c r="J1087" s="29" t="s">
        <v>410</v>
      </c>
      <c r="AA1087" t="str">
        <f t="shared" si="16"/>
        <v>Halal Food Products</v>
      </c>
    </row>
    <row r="1088" ht="30" customHeight="1" spans="1:27">
      <c r="A1088" s="29" t="s">
        <v>25</v>
      </c>
      <c r="B1088" s="29" t="s">
        <v>400</v>
      </c>
      <c r="C1088" s="13" t="s">
        <v>443</v>
      </c>
      <c r="D1088" s="29" t="s">
        <v>74</v>
      </c>
      <c r="E1088" s="19"/>
      <c r="F1088" s="20"/>
      <c r="G1088" s="29"/>
      <c r="H1088" s="33"/>
      <c r="I1088" s="29"/>
      <c r="J1088" s="29" t="s">
        <v>75</v>
      </c>
      <c r="AA1088" t="str">
        <f t="shared" si="16"/>
        <v>Corn</v>
      </c>
    </row>
    <row r="1089" ht="30" customHeight="1" spans="1:27">
      <c r="A1089" s="29" t="s">
        <v>25</v>
      </c>
      <c r="B1089" s="29" t="s">
        <v>400</v>
      </c>
      <c r="C1089" s="13" t="s">
        <v>450</v>
      </c>
      <c r="D1089" s="30" t="s">
        <v>451</v>
      </c>
      <c r="E1089" s="19"/>
      <c r="F1089" s="20">
        <v>91915</v>
      </c>
      <c r="G1089" s="29"/>
      <c r="H1089" s="29"/>
      <c r="I1089" s="29"/>
      <c r="J1089" s="29" t="s">
        <v>29</v>
      </c>
      <c r="AA1089" t="str">
        <f t="shared" si="16"/>
        <v>Farm-to-Market Road</v>
      </c>
    </row>
    <row r="1090" ht="30" customHeight="1" spans="1:27">
      <c r="A1090" s="29" t="s">
        <v>25</v>
      </c>
      <c r="B1090" s="29" t="s">
        <v>400</v>
      </c>
      <c r="C1090" s="13" t="s">
        <v>450</v>
      </c>
      <c r="D1090" s="30" t="s">
        <v>452</v>
      </c>
      <c r="E1090" s="19">
        <v>26350</v>
      </c>
      <c r="F1090" s="20"/>
      <c r="G1090" s="29"/>
      <c r="H1090" s="29"/>
      <c r="I1090" s="29"/>
      <c r="J1090" s="29" t="s">
        <v>29</v>
      </c>
      <c r="AA1090" t="str">
        <f t="shared" si="16"/>
        <v>Farm-to-Market Road</v>
      </c>
    </row>
    <row r="1091" ht="30" customHeight="1" spans="1:27">
      <c r="A1091" s="29" t="s">
        <v>25</v>
      </c>
      <c r="B1091" s="29" t="s">
        <v>400</v>
      </c>
      <c r="C1091" s="13" t="s">
        <v>450</v>
      </c>
      <c r="D1091" s="29" t="s">
        <v>240</v>
      </c>
      <c r="E1091" s="23">
        <v>588.4624</v>
      </c>
      <c r="F1091" s="24">
        <v>75.236</v>
      </c>
      <c r="G1091" s="29"/>
      <c r="H1091" s="33"/>
      <c r="I1091" s="33"/>
      <c r="J1091" s="29" t="s">
        <v>64</v>
      </c>
      <c r="AA1091" t="str">
        <f t="shared" si="16"/>
        <v>Rice</v>
      </c>
    </row>
    <row r="1092" ht="30" customHeight="1" spans="1:27">
      <c r="A1092" s="29" t="s">
        <v>25</v>
      </c>
      <c r="B1092" s="29" t="s">
        <v>400</v>
      </c>
      <c r="C1092" s="13" t="s">
        <v>450</v>
      </c>
      <c r="D1092" s="29" t="s">
        <v>171</v>
      </c>
      <c r="E1092" s="19">
        <v>62.8</v>
      </c>
      <c r="F1092" s="20"/>
      <c r="G1092" s="29"/>
      <c r="H1092" s="33"/>
      <c r="I1092" s="29"/>
      <c r="J1092" s="29" t="s">
        <v>166</v>
      </c>
      <c r="AA1092" t="str">
        <f t="shared" si="16"/>
        <v>Various Commodities (4Ks)</v>
      </c>
    </row>
    <row r="1093" ht="30" customHeight="1" spans="1:27">
      <c r="A1093" s="29" t="s">
        <v>25</v>
      </c>
      <c r="B1093" s="29" t="s">
        <v>400</v>
      </c>
      <c r="C1093" s="13" t="s">
        <v>450</v>
      </c>
      <c r="D1093" s="29" t="s">
        <v>172</v>
      </c>
      <c r="E1093" s="19">
        <v>50</v>
      </c>
      <c r="F1093" s="20"/>
      <c r="G1093" s="29"/>
      <c r="H1093" s="33"/>
      <c r="I1093" s="29"/>
      <c r="J1093" s="29" t="s">
        <v>166</v>
      </c>
      <c r="AA1093" t="str">
        <f t="shared" si="16"/>
        <v>Various Commodities (4Ks)</v>
      </c>
    </row>
    <row r="1094" spans="1:27">
      <c r="A1094" s="29" t="s">
        <v>25</v>
      </c>
      <c r="B1094" s="29" t="s">
        <v>400</v>
      </c>
      <c r="C1094" s="13" t="s">
        <v>450</v>
      </c>
      <c r="D1094" s="29" t="s">
        <v>421</v>
      </c>
      <c r="E1094" s="19"/>
      <c r="F1094" s="20"/>
      <c r="G1094" s="29"/>
      <c r="H1094" s="33"/>
      <c r="I1094" s="33"/>
      <c r="J1094" s="29" t="s">
        <v>75</v>
      </c>
      <c r="AA1094" t="str">
        <f t="shared" si="16"/>
        <v>Corn</v>
      </c>
    </row>
    <row r="1095" ht="30" spans="1:27">
      <c r="A1095" s="29" t="s">
        <v>25</v>
      </c>
      <c r="B1095" s="29" t="s">
        <v>400</v>
      </c>
      <c r="C1095" s="13" t="s">
        <v>450</v>
      </c>
      <c r="D1095" s="29" t="s">
        <v>70</v>
      </c>
      <c r="E1095" s="23">
        <v>2648.0807</v>
      </c>
      <c r="F1095" s="20"/>
      <c r="G1095" s="29"/>
      <c r="H1095" s="33"/>
      <c r="I1095" s="29"/>
      <c r="J1095" s="29" t="s">
        <v>64</v>
      </c>
      <c r="AA1095" t="str">
        <f t="shared" si="16"/>
        <v>Rice</v>
      </c>
    </row>
    <row r="1096" ht="30" customHeight="1" spans="1:27">
      <c r="A1096" s="29" t="s">
        <v>25</v>
      </c>
      <c r="B1096" s="29" t="s">
        <v>400</v>
      </c>
      <c r="C1096" s="13" t="s">
        <v>450</v>
      </c>
      <c r="D1096" s="29" t="s">
        <v>91</v>
      </c>
      <c r="E1096" s="19"/>
      <c r="F1096" s="20"/>
      <c r="G1096" s="29"/>
      <c r="H1096" s="33"/>
      <c r="I1096" s="29"/>
      <c r="J1096" s="29" t="s">
        <v>75</v>
      </c>
      <c r="AA1096" t="str">
        <f t="shared" si="16"/>
        <v>Corn</v>
      </c>
    </row>
    <row r="1097" ht="30" customHeight="1" spans="1:27">
      <c r="A1097" s="29" t="s">
        <v>25</v>
      </c>
      <c r="B1097" s="29" t="s">
        <v>400</v>
      </c>
      <c r="C1097" s="13" t="s">
        <v>450</v>
      </c>
      <c r="D1097" s="29" t="s">
        <v>71</v>
      </c>
      <c r="E1097" s="23">
        <v>1160.9709</v>
      </c>
      <c r="F1097" s="20"/>
      <c r="G1097" s="29"/>
      <c r="H1097" s="33"/>
      <c r="I1097" s="29"/>
      <c r="J1097" s="29" t="s">
        <v>64</v>
      </c>
      <c r="AA1097" t="str">
        <f t="shared" si="16"/>
        <v>Rice</v>
      </c>
    </row>
    <row r="1098" ht="30" customHeight="1" spans="1:27">
      <c r="A1098" s="29" t="s">
        <v>25</v>
      </c>
      <c r="B1098" s="29" t="s">
        <v>400</v>
      </c>
      <c r="C1098" s="13" t="s">
        <v>450</v>
      </c>
      <c r="D1098" s="29" t="s">
        <v>437</v>
      </c>
      <c r="E1098" s="19">
        <v>20</v>
      </c>
      <c r="F1098" s="20"/>
      <c r="G1098" s="29"/>
      <c r="H1098" s="33"/>
      <c r="I1098" s="29"/>
      <c r="J1098" s="29" t="s">
        <v>166</v>
      </c>
      <c r="AA1098" t="str">
        <f t="shared" ref="AA1098:AA1161" si="17">_xlfn.IFS(J1098="DA-FMRDP","Farm-to-Market Road",J1098="DA-RFO2 RICE","Rice",J1098="DA-RFO2 Rice Program","Rice",J1098="DA-RFO2 CORN","Corn",J1098="DA-RFO2 Corn Program","Corn",J1098="DA-RFO2 HVCDP","High Value Crops (Vegetables/Fruits/Rootcrops)",J1098="DA-RFO2 HVCDP Export","High Value Export Crops (Dragon Fruit/Ube/Okra/Banana)",J1098="DA-RFO2 HVCDP Coffee","Coffee (HVCDP)",J1098="DA-RFO2 LIVESTOCK","Livestock (Cattle/Carabao/Swine/Poultry)",J1098="DA-RFO2 SAAD","Various Commodities (SAAD)",J1098="DA-RFO2 4K","Various Commodities (4Ks)",J1098="DA-RFO2 4KS","Various Commodities (4Ks)",J1098="DA-RFO2 HALAL","Halal Food Products",J1098="DA-RFO2 OAP","Organic Agriculture",J1098="DA-RFO2 NUPAP","Vegetables (NUPAP/Urban Agri)",TRUE,IF(ISNUMBER(SEARCH("FMR",D1098)),"Farm-to-Market Road",IF(ISNUMBER(SEARCH("RICE",D1098)),"Rice",IF(ISNUMBER(SEARCH("CORN",D1098)),"Corn",IF(ISNUMBER(SEARCH("HVCDP COFFEE",D1098)),"Coffee (HVCDP)",IF(ISNUMBER(SEARCH("HVCDP EXPORT",D1098)),"High Value Export Crops (Dragon Fruit/Ube/Okra/Banana)",IF(ISNUMBER(SEARCH("HVCDP",D1098)),"High Value Crops (Vegetables/Fruits/Rootcrops)",IF(ISNUMBER(SEARCH("LIVESTOCK",D1098)),"Livestock (Cattle/Carabao/Swine/Poultry)",IF(ISNUMBER(SEARCH("SAAD",D1098)),"Various Commodities (SAAD)",IF(ISNUMBER(SEARCH("4KS",D1098)),"Various Commodities (4Ks)",IF(ISNUMBER(SEARCH("4K",D1098)),"Various Commodities (4Ks)",IF(ISNUMBER(SEARCH("HALAL",D1098)),"Halal Food Products",IF(ISNUMBER(SEARCH("OAP",D1098)),"Organic Agriculture",IF(ISNUMBER(SEARCH("NUPAP",D1098)),"Vegetables (NUPAP/Urban Agri)",""))))))))))))))</f>
        <v>Various Commodities (4Ks)</v>
      </c>
    </row>
    <row r="1099" spans="1:27">
      <c r="A1099" s="29" t="s">
        <v>25</v>
      </c>
      <c r="B1099" s="29" t="s">
        <v>400</v>
      </c>
      <c r="C1099" s="13" t="s">
        <v>450</v>
      </c>
      <c r="D1099" s="29" t="s">
        <v>175</v>
      </c>
      <c r="E1099" s="19">
        <v>148.336</v>
      </c>
      <c r="F1099" s="20"/>
      <c r="G1099" s="29"/>
      <c r="H1099" s="33"/>
      <c r="I1099" s="29"/>
      <c r="J1099" s="29" t="s">
        <v>166</v>
      </c>
      <c r="AA1099" t="str">
        <f t="shared" si="17"/>
        <v>Various Commodities (4Ks)</v>
      </c>
    </row>
    <row r="1100" spans="1:27">
      <c r="A1100" s="29" t="s">
        <v>25</v>
      </c>
      <c r="B1100" s="29" t="s">
        <v>400</v>
      </c>
      <c r="C1100" s="13" t="s">
        <v>450</v>
      </c>
      <c r="D1100" s="29" t="s">
        <v>438</v>
      </c>
      <c r="E1100" s="19">
        <v>120</v>
      </c>
      <c r="F1100" s="20"/>
      <c r="G1100" s="29"/>
      <c r="H1100" s="33"/>
      <c r="I1100" s="29"/>
      <c r="J1100" s="29" t="s">
        <v>166</v>
      </c>
      <c r="AA1100" t="str">
        <f t="shared" si="17"/>
        <v>Various Commodities (4Ks)</v>
      </c>
    </row>
    <row r="1101" spans="1:27">
      <c r="A1101" s="29" t="s">
        <v>25</v>
      </c>
      <c r="B1101" s="29" t="s">
        <v>400</v>
      </c>
      <c r="C1101" s="13" t="s">
        <v>450</v>
      </c>
      <c r="D1101" s="29" t="s">
        <v>176</v>
      </c>
      <c r="E1101" s="19">
        <v>200</v>
      </c>
      <c r="F1101" s="20"/>
      <c r="G1101" s="29"/>
      <c r="H1101" s="33"/>
      <c r="I1101" s="29"/>
      <c r="J1101" s="29" t="s">
        <v>166</v>
      </c>
      <c r="AA1101" t="str">
        <f t="shared" si="17"/>
        <v>Various Commodities (4Ks)</v>
      </c>
    </row>
    <row r="1102" ht="30" customHeight="1" spans="1:27">
      <c r="A1102" s="29" t="s">
        <v>25</v>
      </c>
      <c r="B1102" s="29" t="s">
        <v>400</v>
      </c>
      <c r="C1102" s="13" t="s">
        <v>450</v>
      </c>
      <c r="D1102" s="29" t="s">
        <v>433</v>
      </c>
      <c r="E1102" s="19">
        <v>450</v>
      </c>
      <c r="F1102" s="20"/>
      <c r="G1102" s="29"/>
      <c r="H1102" s="33"/>
      <c r="I1102" s="29"/>
      <c r="J1102" s="29" t="s">
        <v>75</v>
      </c>
      <c r="AA1102" t="str">
        <f t="shared" si="17"/>
        <v>Corn</v>
      </c>
    </row>
    <row r="1103" ht="30" customHeight="1" spans="1:27">
      <c r="A1103" s="29" t="s">
        <v>25</v>
      </c>
      <c r="B1103" s="29" t="s">
        <v>400</v>
      </c>
      <c r="C1103" s="13" t="s">
        <v>450</v>
      </c>
      <c r="D1103" s="29" t="s">
        <v>98</v>
      </c>
      <c r="E1103" s="19">
        <v>112.5</v>
      </c>
      <c r="F1103" s="20"/>
      <c r="G1103" s="29"/>
      <c r="H1103" s="33"/>
      <c r="I1103" s="29"/>
      <c r="J1103" s="29" t="s">
        <v>35</v>
      </c>
      <c r="AA1103" t="str">
        <f t="shared" si="17"/>
        <v>High Value Crops (Vegetables/Fruits/Rootcrops)</v>
      </c>
    </row>
    <row r="1104" ht="30" customHeight="1" spans="1:27">
      <c r="A1104" s="29" t="s">
        <v>25</v>
      </c>
      <c r="B1104" s="29" t="s">
        <v>400</v>
      </c>
      <c r="C1104" s="13" t="s">
        <v>450</v>
      </c>
      <c r="D1104" s="29" t="s">
        <v>177</v>
      </c>
      <c r="E1104" s="19">
        <v>20</v>
      </c>
      <c r="F1104" s="20"/>
      <c r="G1104" s="29"/>
      <c r="H1104" s="33"/>
      <c r="I1104" s="29"/>
      <c r="J1104" s="29" t="s">
        <v>166</v>
      </c>
      <c r="AA1104" t="str">
        <f t="shared" si="17"/>
        <v>Various Commodities (4Ks)</v>
      </c>
    </row>
    <row r="1105" ht="30" customHeight="1" spans="1:27">
      <c r="A1105" s="29" t="s">
        <v>25</v>
      </c>
      <c r="B1105" s="29" t="s">
        <v>400</v>
      </c>
      <c r="C1105" s="13" t="s">
        <v>450</v>
      </c>
      <c r="D1105" s="29" t="s">
        <v>409</v>
      </c>
      <c r="E1105" s="19"/>
      <c r="F1105" s="20">
        <v>5500</v>
      </c>
      <c r="G1105" s="29"/>
      <c r="H1105" s="29"/>
      <c r="I1105" s="33"/>
      <c r="J1105" s="29" t="s">
        <v>410</v>
      </c>
      <c r="AA1105" t="str">
        <f t="shared" si="17"/>
        <v>Halal Food Products</v>
      </c>
    </row>
    <row r="1106" ht="30" customHeight="1" spans="1:27">
      <c r="A1106" s="29" t="s">
        <v>25</v>
      </c>
      <c r="B1106" s="29" t="s">
        <v>400</v>
      </c>
      <c r="C1106" s="13" t="s">
        <v>450</v>
      </c>
      <c r="D1106" s="29" t="s">
        <v>411</v>
      </c>
      <c r="E1106" s="19">
        <v>2705.4</v>
      </c>
      <c r="F1106" s="20"/>
      <c r="G1106" s="29"/>
      <c r="H1106" s="33"/>
      <c r="I1106" s="29"/>
      <c r="J1106" s="29" t="s">
        <v>412</v>
      </c>
      <c r="AA1106" t="str">
        <f t="shared" si="17"/>
        <v>Coffee (HVCDP)</v>
      </c>
    </row>
    <row r="1107" ht="30" customHeight="1" spans="1:27">
      <c r="A1107" s="29" t="s">
        <v>25</v>
      </c>
      <c r="B1107" s="29" t="s">
        <v>400</v>
      </c>
      <c r="C1107" s="13" t="s">
        <v>450</v>
      </c>
      <c r="D1107" s="29" t="s">
        <v>413</v>
      </c>
      <c r="E1107" s="19">
        <v>1844.6</v>
      </c>
      <c r="F1107" s="20"/>
      <c r="G1107" s="29"/>
      <c r="H1107" s="33"/>
      <c r="I1107" s="29"/>
      <c r="J1107" s="29" t="s">
        <v>412</v>
      </c>
      <c r="AA1107" t="str">
        <f t="shared" si="17"/>
        <v>Coffee (HVCDP)</v>
      </c>
    </row>
    <row r="1108" ht="30" customHeight="1" spans="1:27">
      <c r="A1108" s="29" t="s">
        <v>25</v>
      </c>
      <c r="B1108" s="29" t="s">
        <v>400</v>
      </c>
      <c r="C1108" s="13" t="s">
        <v>450</v>
      </c>
      <c r="D1108" s="29" t="s">
        <v>414</v>
      </c>
      <c r="E1108" s="19">
        <v>1000</v>
      </c>
      <c r="F1108" s="20"/>
      <c r="G1108" s="29"/>
      <c r="H1108" s="33"/>
      <c r="I1108" s="29"/>
      <c r="J1108" s="29" t="s">
        <v>35</v>
      </c>
      <c r="AA1108" t="str">
        <f t="shared" si="17"/>
        <v>High Value Crops (Vegetables/Fruits/Rootcrops)</v>
      </c>
    </row>
    <row r="1109" ht="45" customHeight="1" spans="1:27">
      <c r="A1109" s="29" t="s">
        <v>25</v>
      </c>
      <c r="B1109" s="29" t="s">
        <v>400</v>
      </c>
      <c r="C1109" s="13" t="s">
        <v>450</v>
      </c>
      <c r="D1109" s="29" t="s">
        <v>36</v>
      </c>
      <c r="E1109" s="19">
        <v>1350</v>
      </c>
      <c r="F1109" s="20"/>
      <c r="G1109" s="29"/>
      <c r="H1109" s="33"/>
      <c r="I1109" s="29"/>
      <c r="J1109" s="29" t="s">
        <v>35</v>
      </c>
      <c r="AA1109" t="str">
        <f t="shared" si="17"/>
        <v>High Value Crops (Vegetables/Fruits/Rootcrops)</v>
      </c>
    </row>
    <row r="1110" ht="30" customHeight="1" spans="1:27">
      <c r="A1110" s="29" t="s">
        <v>25</v>
      </c>
      <c r="B1110" s="29" t="s">
        <v>400</v>
      </c>
      <c r="C1110" s="13" t="s">
        <v>450</v>
      </c>
      <c r="D1110" s="29" t="s">
        <v>180</v>
      </c>
      <c r="E1110" s="19">
        <v>1200</v>
      </c>
      <c r="F1110" s="20"/>
      <c r="G1110" s="29"/>
      <c r="H1110" s="33"/>
      <c r="I1110" s="29"/>
      <c r="J1110" s="29" t="s">
        <v>166</v>
      </c>
      <c r="AA1110" t="str">
        <f t="shared" si="17"/>
        <v>Various Commodities (4Ks)</v>
      </c>
    </row>
    <row r="1111" spans="1:27">
      <c r="A1111" s="29" t="s">
        <v>25</v>
      </c>
      <c r="B1111" s="29" t="s">
        <v>400</v>
      </c>
      <c r="C1111" s="13" t="s">
        <v>450</v>
      </c>
      <c r="D1111" s="29" t="s">
        <v>181</v>
      </c>
      <c r="E1111" s="19">
        <v>687.83</v>
      </c>
      <c r="F1111" s="20"/>
      <c r="G1111" s="29"/>
      <c r="H1111" s="33"/>
      <c r="I1111" s="29"/>
      <c r="J1111" s="29" t="s">
        <v>166</v>
      </c>
      <c r="AA1111" t="str">
        <f t="shared" si="17"/>
        <v>Various Commodities (4Ks)</v>
      </c>
    </row>
    <row r="1112" ht="30" customHeight="1" spans="1:27">
      <c r="A1112" s="29" t="s">
        <v>25</v>
      </c>
      <c r="B1112" s="29" t="s">
        <v>400</v>
      </c>
      <c r="C1112" s="13" t="s">
        <v>453</v>
      </c>
      <c r="D1112" s="30" t="s">
        <v>454</v>
      </c>
      <c r="E1112" s="19">
        <v>15500</v>
      </c>
      <c r="F1112" s="20"/>
      <c r="G1112" s="29"/>
      <c r="H1112" s="29"/>
      <c r="I1112" s="29"/>
      <c r="J1112" s="29" t="s">
        <v>29</v>
      </c>
      <c r="AA1112" t="str">
        <f t="shared" si="17"/>
        <v>Farm-to-Market Road</v>
      </c>
    </row>
    <row r="1113" ht="30" customHeight="1" spans="1:27">
      <c r="A1113" s="29" t="s">
        <v>25</v>
      </c>
      <c r="B1113" s="29" t="s">
        <v>400</v>
      </c>
      <c r="C1113" s="13" t="s">
        <v>453</v>
      </c>
      <c r="D1113" s="30" t="s">
        <v>455</v>
      </c>
      <c r="E1113" s="19"/>
      <c r="F1113" s="20">
        <v>43400</v>
      </c>
      <c r="G1113" s="29"/>
      <c r="H1113" s="29"/>
      <c r="I1113" s="29"/>
      <c r="J1113" s="29" t="s">
        <v>29</v>
      </c>
      <c r="AA1113" t="str">
        <f t="shared" si="17"/>
        <v>Farm-to-Market Road</v>
      </c>
    </row>
    <row r="1114" ht="30" customHeight="1" spans="1:27">
      <c r="A1114" s="29" t="s">
        <v>25</v>
      </c>
      <c r="B1114" s="29" t="s">
        <v>400</v>
      </c>
      <c r="C1114" s="13" t="s">
        <v>453</v>
      </c>
      <c r="D1114" s="29" t="s">
        <v>98</v>
      </c>
      <c r="E1114" s="19">
        <v>720</v>
      </c>
      <c r="F1114" s="20"/>
      <c r="G1114" s="29"/>
      <c r="H1114" s="33"/>
      <c r="I1114" s="29"/>
      <c r="J1114" s="29" t="s">
        <v>35</v>
      </c>
      <c r="AA1114" t="str">
        <f t="shared" si="17"/>
        <v>High Value Crops (Vegetables/Fruits/Rootcrops)</v>
      </c>
    </row>
    <row r="1115" ht="30" customHeight="1" spans="1:27">
      <c r="A1115" s="29" t="s">
        <v>25</v>
      </c>
      <c r="B1115" s="29" t="s">
        <v>400</v>
      </c>
      <c r="C1115" s="13" t="s">
        <v>453</v>
      </c>
      <c r="D1115" s="29" t="s">
        <v>36</v>
      </c>
      <c r="E1115" s="19">
        <v>9950</v>
      </c>
      <c r="F1115" s="20"/>
      <c r="G1115" s="29"/>
      <c r="H1115" s="33"/>
      <c r="I1115" s="29"/>
      <c r="J1115" s="29" t="s">
        <v>35</v>
      </c>
      <c r="AA1115" t="str">
        <f t="shared" si="17"/>
        <v>High Value Crops (Vegetables/Fruits/Rootcrops)</v>
      </c>
    </row>
    <row r="1116" ht="30" customHeight="1" spans="1:27">
      <c r="A1116" s="29" t="s">
        <v>25</v>
      </c>
      <c r="B1116" s="29" t="s">
        <v>400</v>
      </c>
      <c r="C1116" s="13" t="s">
        <v>456</v>
      </c>
      <c r="D1116" s="30" t="s">
        <v>457</v>
      </c>
      <c r="E1116" s="19"/>
      <c r="F1116" s="20">
        <v>17515</v>
      </c>
      <c r="G1116" s="29"/>
      <c r="H1116" s="29"/>
      <c r="I1116" s="29"/>
      <c r="J1116" s="29" t="s">
        <v>29</v>
      </c>
      <c r="AA1116" t="str">
        <f t="shared" si="17"/>
        <v>Farm-to-Market Road</v>
      </c>
    </row>
    <row r="1117" ht="30" spans="1:27">
      <c r="A1117" s="29" t="s">
        <v>25</v>
      </c>
      <c r="B1117" s="29" t="s">
        <v>400</v>
      </c>
      <c r="C1117" s="13" t="s">
        <v>456</v>
      </c>
      <c r="D1117" s="30" t="s">
        <v>458</v>
      </c>
      <c r="E1117" s="19"/>
      <c r="F1117" s="20">
        <v>15500</v>
      </c>
      <c r="G1117" s="29"/>
      <c r="H1117" s="29"/>
      <c r="I1117" s="29"/>
      <c r="J1117" s="29" t="s">
        <v>29</v>
      </c>
      <c r="AA1117" t="str">
        <f t="shared" si="17"/>
        <v>Farm-to-Market Road</v>
      </c>
    </row>
    <row r="1118" ht="30" spans="1:27">
      <c r="A1118" s="29" t="s">
        <v>25</v>
      </c>
      <c r="B1118" s="29" t="s">
        <v>400</v>
      </c>
      <c r="C1118" s="13" t="s">
        <v>456</v>
      </c>
      <c r="D1118" s="29" t="s">
        <v>240</v>
      </c>
      <c r="E1118" s="23">
        <v>3717.5343</v>
      </c>
      <c r="F1118" s="24">
        <v>475.2936</v>
      </c>
      <c r="G1118" s="29"/>
      <c r="H1118" s="33"/>
      <c r="I1118" s="33"/>
      <c r="J1118" s="29" t="s">
        <v>64</v>
      </c>
      <c r="AA1118" t="str">
        <f t="shared" si="17"/>
        <v>Rice</v>
      </c>
    </row>
    <row r="1119" ht="30" customHeight="1" spans="1:27">
      <c r="A1119" s="29" t="s">
        <v>25</v>
      </c>
      <c r="B1119" s="29" t="s">
        <v>400</v>
      </c>
      <c r="C1119" s="13" t="s">
        <v>456</v>
      </c>
      <c r="D1119" s="29" t="s">
        <v>421</v>
      </c>
      <c r="E1119" s="19"/>
      <c r="F1119" s="20"/>
      <c r="G1119" s="29"/>
      <c r="H1119" s="33"/>
      <c r="I1119" s="33"/>
      <c r="J1119" s="29" t="s">
        <v>75</v>
      </c>
      <c r="AA1119" t="str">
        <f t="shared" si="17"/>
        <v>Corn</v>
      </c>
    </row>
    <row r="1120" ht="30" customHeight="1" spans="1:27">
      <c r="A1120" s="29" t="s">
        <v>25</v>
      </c>
      <c r="B1120" s="29" t="s">
        <v>400</v>
      </c>
      <c r="C1120" s="13" t="s">
        <v>456</v>
      </c>
      <c r="D1120" s="29" t="s">
        <v>70</v>
      </c>
      <c r="E1120" s="23">
        <v>16728.9044</v>
      </c>
      <c r="F1120" s="20"/>
      <c r="G1120" s="29"/>
      <c r="H1120" s="33"/>
      <c r="I1120" s="29"/>
      <c r="J1120" s="29" t="s">
        <v>64</v>
      </c>
      <c r="AA1120" t="str">
        <f t="shared" si="17"/>
        <v>Rice</v>
      </c>
    </row>
    <row r="1121" ht="30" customHeight="1" spans="1:27">
      <c r="A1121" s="29" t="s">
        <v>25</v>
      </c>
      <c r="B1121" s="29" t="s">
        <v>400</v>
      </c>
      <c r="C1121" s="13" t="s">
        <v>456</v>
      </c>
      <c r="D1121" s="29" t="s">
        <v>91</v>
      </c>
      <c r="E1121" s="19"/>
      <c r="F1121" s="20"/>
      <c r="G1121" s="29"/>
      <c r="H1121" s="33"/>
      <c r="I1121" s="29"/>
      <c r="J1121" s="29" t="s">
        <v>75</v>
      </c>
      <c r="AA1121" t="str">
        <f t="shared" si="17"/>
        <v>Corn</v>
      </c>
    </row>
    <row r="1122" ht="30" customHeight="1" spans="1:27">
      <c r="A1122" s="29" t="s">
        <v>25</v>
      </c>
      <c r="B1122" s="29" t="s">
        <v>400</v>
      </c>
      <c r="C1122" s="13" t="s">
        <v>456</v>
      </c>
      <c r="D1122" s="29" t="s">
        <v>71</v>
      </c>
      <c r="E1122" s="23">
        <v>7334.2822</v>
      </c>
      <c r="F1122" s="20"/>
      <c r="G1122" s="29"/>
      <c r="H1122" s="33"/>
      <c r="I1122" s="29"/>
      <c r="J1122" s="29" t="s">
        <v>64</v>
      </c>
      <c r="AA1122" t="str">
        <f t="shared" si="17"/>
        <v>Rice</v>
      </c>
    </row>
    <row r="1123" ht="30" customHeight="1" spans="1:27">
      <c r="A1123" s="29" t="s">
        <v>25</v>
      </c>
      <c r="B1123" s="29" t="s">
        <v>400</v>
      </c>
      <c r="C1123" s="13" t="s">
        <v>456</v>
      </c>
      <c r="D1123" s="29" t="s">
        <v>433</v>
      </c>
      <c r="E1123" s="19">
        <v>450</v>
      </c>
      <c r="F1123" s="20"/>
      <c r="G1123" s="29"/>
      <c r="H1123" s="33"/>
      <c r="I1123" s="29"/>
      <c r="J1123" s="29" t="s">
        <v>75</v>
      </c>
      <c r="AA1123" t="str">
        <f t="shared" si="17"/>
        <v>Corn</v>
      </c>
    </row>
    <row r="1124" ht="30" customHeight="1" spans="1:27">
      <c r="A1124" s="29" t="s">
        <v>25</v>
      </c>
      <c r="B1124" s="29" t="s">
        <v>400</v>
      </c>
      <c r="C1124" s="13" t="s">
        <v>456</v>
      </c>
      <c r="D1124" s="29" t="s">
        <v>307</v>
      </c>
      <c r="E1124" s="19">
        <v>3500</v>
      </c>
      <c r="F1124" s="20"/>
      <c r="G1124" s="29"/>
      <c r="H1124" s="33"/>
      <c r="I1124" s="29"/>
      <c r="J1124" s="29" t="s">
        <v>288</v>
      </c>
      <c r="AA1124" t="str">
        <f t="shared" si="17"/>
        <v>Organic Agriculture</v>
      </c>
    </row>
    <row r="1125" ht="30" customHeight="1" spans="1:27">
      <c r="A1125" s="29" t="s">
        <v>25</v>
      </c>
      <c r="B1125" s="29" t="s">
        <v>400</v>
      </c>
      <c r="C1125" s="13" t="s">
        <v>456</v>
      </c>
      <c r="D1125" s="29" t="s">
        <v>73</v>
      </c>
      <c r="E1125" s="19">
        <v>33430</v>
      </c>
      <c r="F1125" s="20"/>
      <c r="G1125" s="29"/>
      <c r="H1125" s="33"/>
      <c r="I1125" s="29"/>
      <c r="J1125" s="29" t="s">
        <v>64</v>
      </c>
      <c r="AA1125" t="str">
        <f t="shared" si="17"/>
        <v>Rice</v>
      </c>
    </row>
    <row r="1126" ht="30" customHeight="1" spans="1:27">
      <c r="A1126" s="29" t="s">
        <v>25</v>
      </c>
      <c r="B1126" s="29" t="s">
        <v>400</v>
      </c>
      <c r="C1126" s="13" t="s">
        <v>456</v>
      </c>
      <c r="D1126" s="29" t="s">
        <v>189</v>
      </c>
      <c r="E1126" s="19">
        <v>400</v>
      </c>
      <c r="F1126" s="20"/>
      <c r="G1126" s="29"/>
      <c r="H1126" s="33"/>
      <c r="I1126" s="29"/>
      <c r="J1126" s="29" t="s">
        <v>75</v>
      </c>
      <c r="AA1126" t="str">
        <f t="shared" si="17"/>
        <v>Corn</v>
      </c>
    </row>
    <row r="1127" ht="30" customHeight="1" spans="1:27">
      <c r="A1127" s="29" t="s">
        <v>25</v>
      </c>
      <c r="B1127" s="29" t="s">
        <v>400</v>
      </c>
      <c r="C1127" s="13" t="s">
        <v>456</v>
      </c>
      <c r="D1127" s="29" t="s">
        <v>190</v>
      </c>
      <c r="E1127" s="19">
        <v>400</v>
      </c>
      <c r="F1127" s="20"/>
      <c r="G1127" s="29"/>
      <c r="H1127" s="33"/>
      <c r="I1127" s="29"/>
      <c r="J1127" s="29" t="s">
        <v>75</v>
      </c>
      <c r="AA1127" t="str">
        <f t="shared" si="17"/>
        <v>Corn</v>
      </c>
    </row>
    <row r="1128" ht="45" customHeight="1" spans="1:27">
      <c r="A1128" s="29" t="s">
        <v>25</v>
      </c>
      <c r="B1128" s="29" t="s">
        <v>400</v>
      </c>
      <c r="C1128" s="13" t="s">
        <v>456</v>
      </c>
      <c r="D1128" s="29" t="s">
        <v>103</v>
      </c>
      <c r="E1128" s="19">
        <v>1650</v>
      </c>
      <c r="F1128" s="20"/>
      <c r="G1128" s="29"/>
      <c r="H1128" s="33"/>
      <c r="I1128" s="29"/>
      <c r="J1128" s="29" t="s">
        <v>75</v>
      </c>
      <c r="AA1128" t="str">
        <f t="shared" si="17"/>
        <v>Corn</v>
      </c>
    </row>
    <row r="1129" ht="30" spans="1:27">
      <c r="A1129" s="29" t="s">
        <v>25</v>
      </c>
      <c r="B1129" s="29" t="s">
        <v>400</v>
      </c>
      <c r="C1129" s="13" t="s">
        <v>456</v>
      </c>
      <c r="D1129" s="29" t="s">
        <v>74</v>
      </c>
      <c r="E1129" s="19"/>
      <c r="F1129" s="20"/>
      <c r="G1129" s="29"/>
      <c r="H1129" s="33"/>
      <c r="I1129" s="29"/>
      <c r="J1129" s="29" t="s">
        <v>75</v>
      </c>
      <c r="AA1129" t="str">
        <f t="shared" si="17"/>
        <v>Corn</v>
      </c>
    </row>
    <row r="1130" ht="30" customHeight="1" spans="1:27">
      <c r="A1130" s="29" t="s">
        <v>25</v>
      </c>
      <c r="B1130" s="29" t="s">
        <v>400</v>
      </c>
      <c r="C1130" s="13" t="s">
        <v>459</v>
      </c>
      <c r="D1130" s="30" t="s">
        <v>460</v>
      </c>
      <c r="E1130" s="19"/>
      <c r="F1130" s="20">
        <v>23250</v>
      </c>
      <c r="G1130" s="29"/>
      <c r="H1130" s="29"/>
      <c r="I1130" s="29"/>
      <c r="J1130" s="29" t="s">
        <v>29</v>
      </c>
      <c r="AA1130" t="str">
        <f t="shared" si="17"/>
        <v>Farm-to-Market Road</v>
      </c>
    </row>
    <row r="1131" ht="30" customHeight="1" spans="1:27">
      <c r="A1131" s="29" t="s">
        <v>25</v>
      </c>
      <c r="B1131" s="29" t="s">
        <v>400</v>
      </c>
      <c r="C1131" s="13" t="s">
        <v>459</v>
      </c>
      <c r="D1131" s="29" t="s">
        <v>144</v>
      </c>
      <c r="E1131" s="19">
        <v>75</v>
      </c>
      <c r="F1131" s="20"/>
      <c r="G1131" s="29"/>
      <c r="H1131" s="33"/>
      <c r="I1131" s="29"/>
      <c r="J1131" s="29" t="s">
        <v>33</v>
      </c>
      <c r="AA1131" t="str">
        <f t="shared" si="17"/>
        <v>Various Commodities (SAAD)</v>
      </c>
    </row>
    <row r="1132" ht="45" customHeight="1" spans="1:27">
      <c r="A1132" s="29" t="s">
        <v>25</v>
      </c>
      <c r="B1132" s="29" t="s">
        <v>400</v>
      </c>
      <c r="C1132" s="13" t="s">
        <v>459</v>
      </c>
      <c r="D1132" s="29" t="s">
        <v>240</v>
      </c>
      <c r="E1132" s="23">
        <v>1387.3074</v>
      </c>
      <c r="F1132" s="24">
        <v>177.3698</v>
      </c>
      <c r="G1132" s="29"/>
      <c r="H1132" s="33"/>
      <c r="I1132" s="33"/>
      <c r="J1132" s="29" t="s">
        <v>64</v>
      </c>
      <c r="AA1132" t="str">
        <f t="shared" si="17"/>
        <v>Rice</v>
      </c>
    </row>
    <row r="1133" spans="1:27">
      <c r="A1133" s="29" t="s">
        <v>25</v>
      </c>
      <c r="B1133" s="29" t="s">
        <v>400</v>
      </c>
      <c r="C1133" s="13" t="s">
        <v>459</v>
      </c>
      <c r="D1133" s="29" t="s">
        <v>360</v>
      </c>
      <c r="E1133" s="19">
        <v>350</v>
      </c>
      <c r="F1133" s="20"/>
      <c r="G1133" s="29"/>
      <c r="H1133" s="33"/>
      <c r="I1133" s="29"/>
      <c r="J1133" s="29" t="s">
        <v>33</v>
      </c>
      <c r="AA1133" t="str">
        <f t="shared" si="17"/>
        <v>Various Commodities (SAAD)</v>
      </c>
    </row>
    <row r="1134" spans="1:27">
      <c r="A1134" s="29" t="s">
        <v>25</v>
      </c>
      <c r="B1134" s="29" t="s">
        <v>400</v>
      </c>
      <c r="C1134" s="13" t="s">
        <v>459</v>
      </c>
      <c r="D1134" s="29" t="s">
        <v>60</v>
      </c>
      <c r="E1134" s="19">
        <v>700</v>
      </c>
      <c r="F1134" s="20"/>
      <c r="G1134" s="29"/>
      <c r="H1134" s="33"/>
      <c r="I1134" s="29"/>
      <c r="J1134" s="29" t="s">
        <v>33</v>
      </c>
      <c r="AA1134" t="str">
        <f t="shared" si="17"/>
        <v>Various Commodities (SAAD)</v>
      </c>
    </row>
    <row r="1135" ht="30" customHeight="1" spans="1:27">
      <c r="A1135" s="29" t="s">
        <v>25</v>
      </c>
      <c r="B1135" s="29" t="s">
        <v>400</v>
      </c>
      <c r="C1135" s="13" t="s">
        <v>459</v>
      </c>
      <c r="D1135" s="29" t="s">
        <v>421</v>
      </c>
      <c r="E1135" s="19"/>
      <c r="F1135" s="20"/>
      <c r="G1135" s="29"/>
      <c r="H1135" s="33"/>
      <c r="I1135" s="33"/>
      <c r="J1135" s="29" t="s">
        <v>75</v>
      </c>
      <c r="AA1135" t="str">
        <f t="shared" si="17"/>
        <v>Corn</v>
      </c>
    </row>
    <row r="1136" ht="45" customHeight="1" spans="1:27">
      <c r="A1136" s="29" t="s">
        <v>25</v>
      </c>
      <c r="B1136" s="29" t="s">
        <v>400</v>
      </c>
      <c r="C1136" s="13" t="s">
        <v>459</v>
      </c>
      <c r="D1136" s="29" t="s">
        <v>70</v>
      </c>
      <c r="E1136" s="23">
        <v>6242.8834</v>
      </c>
      <c r="F1136" s="20"/>
      <c r="G1136" s="29"/>
      <c r="H1136" s="33"/>
      <c r="I1136" s="29"/>
      <c r="J1136" s="29" t="s">
        <v>64</v>
      </c>
      <c r="AA1136" t="str">
        <f t="shared" si="17"/>
        <v>Rice</v>
      </c>
    </row>
    <row r="1137" ht="45" customHeight="1" spans="1:27">
      <c r="A1137" s="29" t="s">
        <v>25</v>
      </c>
      <c r="B1137" s="29" t="s">
        <v>400</v>
      </c>
      <c r="C1137" s="13" t="s">
        <v>459</v>
      </c>
      <c r="D1137" s="29" t="s">
        <v>71</v>
      </c>
      <c r="E1137" s="23">
        <v>2737.0034</v>
      </c>
      <c r="F1137" s="20"/>
      <c r="G1137" s="29"/>
      <c r="H1137" s="33"/>
      <c r="I1137" s="29"/>
      <c r="J1137" s="29" t="s">
        <v>64</v>
      </c>
      <c r="AA1137" t="str">
        <f t="shared" si="17"/>
        <v>Rice</v>
      </c>
    </row>
    <row r="1138" ht="30" customHeight="1" spans="1:27">
      <c r="A1138" s="29" t="s">
        <v>25</v>
      </c>
      <c r="B1138" s="29" t="s">
        <v>400</v>
      </c>
      <c r="C1138" s="13" t="s">
        <v>459</v>
      </c>
      <c r="D1138" s="29" t="s">
        <v>365</v>
      </c>
      <c r="E1138" s="19">
        <v>1100</v>
      </c>
      <c r="F1138" s="20"/>
      <c r="G1138" s="29"/>
      <c r="H1138" s="33"/>
      <c r="I1138" s="29"/>
      <c r="J1138" s="29" t="s">
        <v>96</v>
      </c>
      <c r="AA1138" t="str">
        <f t="shared" si="17"/>
        <v>Corn</v>
      </c>
    </row>
    <row r="1139" ht="30" customHeight="1" spans="1:27">
      <c r="A1139" s="29" t="s">
        <v>25</v>
      </c>
      <c r="B1139" s="29" t="s">
        <v>400</v>
      </c>
      <c r="C1139" s="13" t="s">
        <v>459</v>
      </c>
      <c r="D1139" s="29" t="s">
        <v>367</v>
      </c>
      <c r="E1139" s="19">
        <v>2000</v>
      </c>
      <c r="F1139" s="20">
        <v>2000</v>
      </c>
      <c r="G1139" s="29"/>
      <c r="H1139" s="33"/>
      <c r="I1139" s="33"/>
      <c r="J1139" s="29" t="s">
        <v>75</v>
      </c>
      <c r="AA1139" t="str">
        <f t="shared" si="17"/>
        <v>Corn</v>
      </c>
    </row>
    <row r="1140" ht="30" customHeight="1" spans="1:27">
      <c r="A1140" s="29" t="s">
        <v>25</v>
      </c>
      <c r="B1140" s="29" t="s">
        <v>400</v>
      </c>
      <c r="C1140" s="13" t="s">
        <v>459</v>
      </c>
      <c r="D1140" s="29" t="s">
        <v>208</v>
      </c>
      <c r="E1140" s="19">
        <v>375</v>
      </c>
      <c r="F1140" s="20"/>
      <c r="G1140" s="29"/>
      <c r="H1140" s="33"/>
      <c r="I1140" s="29"/>
      <c r="J1140" s="29" t="s">
        <v>33</v>
      </c>
      <c r="AA1140" t="str">
        <f t="shared" si="17"/>
        <v>Various Commodities (SAAD)</v>
      </c>
    </row>
    <row r="1141" ht="30" customHeight="1" spans="1:27">
      <c r="A1141" s="29" t="s">
        <v>25</v>
      </c>
      <c r="B1141" s="29" t="s">
        <v>400</v>
      </c>
      <c r="C1141" s="13" t="s">
        <v>459</v>
      </c>
      <c r="D1141" s="29" t="s">
        <v>197</v>
      </c>
      <c r="E1141" s="19">
        <v>2000</v>
      </c>
      <c r="F1141" s="20"/>
      <c r="G1141" s="29"/>
      <c r="H1141" s="33"/>
      <c r="I1141" s="29"/>
      <c r="J1141" s="29" t="s">
        <v>35</v>
      </c>
      <c r="AA1141" t="str">
        <f t="shared" si="17"/>
        <v>High Value Crops (Vegetables/Fruits/Rootcrops)</v>
      </c>
    </row>
    <row r="1142" ht="30" customHeight="1" spans="1:27">
      <c r="A1142" s="29" t="s">
        <v>25</v>
      </c>
      <c r="B1142" s="29" t="s">
        <v>400</v>
      </c>
      <c r="C1142" s="13" t="s">
        <v>459</v>
      </c>
      <c r="D1142" s="29" t="s">
        <v>209</v>
      </c>
      <c r="E1142" s="19">
        <v>300</v>
      </c>
      <c r="F1142" s="20"/>
      <c r="G1142" s="29"/>
      <c r="H1142" s="33"/>
      <c r="I1142" s="29"/>
      <c r="J1142" s="29" t="s">
        <v>33</v>
      </c>
      <c r="AA1142" t="str">
        <f t="shared" si="17"/>
        <v>Various Commodities (SAAD)</v>
      </c>
    </row>
    <row r="1143" ht="30" customHeight="1" spans="1:27">
      <c r="A1143" s="29" t="s">
        <v>25</v>
      </c>
      <c r="B1143" s="29" t="s">
        <v>400</v>
      </c>
      <c r="C1143" s="13" t="s">
        <v>459</v>
      </c>
      <c r="D1143" s="29" t="s">
        <v>74</v>
      </c>
      <c r="E1143" s="19"/>
      <c r="F1143" s="20"/>
      <c r="G1143" s="29"/>
      <c r="H1143" s="33"/>
      <c r="I1143" s="29"/>
      <c r="J1143" s="29" t="s">
        <v>75</v>
      </c>
      <c r="AA1143" t="str">
        <f t="shared" si="17"/>
        <v>Corn</v>
      </c>
    </row>
    <row r="1144" ht="30" customHeight="1" spans="1:27">
      <c r="A1144" s="29" t="s">
        <v>25</v>
      </c>
      <c r="B1144" s="29" t="s">
        <v>461</v>
      </c>
      <c r="C1144" s="13" t="s">
        <v>462</v>
      </c>
      <c r="D1144" s="29" t="s">
        <v>125</v>
      </c>
      <c r="E1144" s="19">
        <v>1200</v>
      </c>
      <c r="F1144" s="20"/>
      <c r="G1144" s="29"/>
      <c r="H1144" s="33"/>
      <c r="I1144" s="29"/>
      <c r="J1144" s="29" t="s">
        <v>75</v>
      </c>
      <c r="AA1144" t="str">
        <f t="shared" si="17"/>
        <v>Corn</v>
      </c>
    </row>
    <row r="1145" ht="30" customHeight="1" spans="1:27">
      <c r="A1145" s="29" t="s">
        <v>25</v>
      </c>
      <c r="B1145" s="29" t="s">
        <v>461</v>
      </c>
      <c r="C1145" s="13" t="s">
        <v>462</v>
      </c>
      <c r="D1145" s="30" t="s">
        <v>463</v>
      </c>
      <c r="E1145" s="19"/>
      <c r="F1145" s="20">
        <v>15000</v>
      </c>
      <c r="G1145" s="29"/>
      <c r="H1145" s="29"/>
      <c r="I1145" s="29"/>
      <c r="J1145" s="29" t="s">
        <v>29</v>
      </c>
      <c r="AA1145" t="str">
        <f t="shared" si="17"/>
        <v>Farm-to-Market Road</v>
      </c>
    </row>
    <row r="1146" ht="30" customHeight="1" spans="1:27">
      <c r="A1146" s="29" t="s">
        <v>25</v>
      </c>
      <c r="B1146" s="29" t="s">
        <v>461</v>
      </c>
      <c r="C1146" s="13" t="s">
        <v>462</v>
      </c>
      <c r="D1146" s="30" t="s">
        <v>464</v>
      </c>
      <c r="E1146" s="19"/>
      <c r="F1146" s="20">
        <v>15000</v>
      </c>
      <c r="G1146" s="29"/>
      <c r="H1146" s="29"/>
      <c r="I1146" s="29"/>
      <c r="J1146" s="29" t="s">
        <v>29</v>
      </c>
      <c r="AA1146" t="str">
        <f t="shared" si="17"/>
        <v>Farm-to-Market Road</v>
      </c>
    </row>
    <row r="1147" ht="30" customHeight="1" spans="1:27">
      <c r="A1147" s="29" t="s">
        <v>25</v>
      </c>
      <c r="B1147" s="29" t="s">
        <v>461</v>
      </c>
      <c r="C1147" s="13" t="s">
        <v>462</v>
      </c>
      <c r="D1147" s="30" t="s">
        <v>465</v>
      </c>
      <c r="E1147" s="19"/>
      <c r="F1147" s="20">
        <v>15000</v>
      </c>
      <c r="G1147" s="29"/>
      <c r="H1147" s="29"/>
      <c r="I1147" s="29"/>
      <c r="J1147" s="29" t="s">
        <v>29</v>
      </c>
      <c r="AA1147" t="str">
        <f t="shared" si="17"/>
        <v>Farm-to-Market Road</v>
      </c>
    </row>
    <row r="1148" ht="30" spans="1:27">
      <c r="A1148" s="29" t="s">
        <v>25</v>
      </c>
      <c r="B1148" s="29" t="s">
        <v>461</v>
      </c>
      <c r="C1148" s="13" t="s">
        <v>462</v>
      </c>
      <c r="D1148" s="30" t="s">
        <v>466</v>
      </c>
      <c r="E1148" s="19">
        <v>31000</v>
      </c>
      <c r="F1148" s="20"/>
      <c r="G1148" s="29"/>
      <c r="H1148" s="29"/>
      <c r="I1148" s="29"/>
      <c r="J1148" s="29" t="s">
        <v>29</v>
      </c>
      <c r="AA1148" t="str">
        <f t="shared" si="17"/>
        <v>Farm-to-Market Road</v>
      </c>
    </row>
    <row r="1149" ht="30" spans="1:27">
      <c r="A1149" s="29" t="s">
        <v>25</v>
      </c>
      <c r="B1149" s="29" t="s">
        <v>461</v>
      </c>
      <c r="C1149" s="13" t="s">
        <v>462</v>
      </c>
      <c r="D1149" s="29" t="s">
        <v>240</v>
      </c>
      <c r="E1149" s="23">
        <v>2614.3585</v>
      </c>
      <c r="F1149" s="24">
        <v>212.5495</v>
      </c>
      <c r="G1149" s="29"/>
      <c r="H1149" s="33"/>
      <c r="I1149" s="33"/>
      <c r="J1149" s="29" t="s">
        <v>64</v>
      </c>
      <c r="AA1149" t="str">
        <f t="shared" si="17"/>
        <v>Rice</v>
      </c>
    </row>
    <row r="1150" ht="30" customHeight="1" spans="1:27">
      <c r="A1150" s="29" t="s">
        <v>25</v>
      </c>
      <c r="B1150" s="29" t="s">
        <v>461</v>
      </c>
      <c r="C1150" s="13" t="s">
        <v>462</v>
      </c>
      <c r="D1150" s="29" t="s">
        <v>421</v>
      </c>
      <c r="E1150" s="19">
        <v>4082</v>
      </c>
      <c r="F1150" s="20">
        <v>117000</v>
      </c>
      <c r="G1150" s="29"/>
      <c r="H1150" s="33"/>
      <c r="I1150" s="33"/>
      <c r="J1150" s="29" t="s">
        <v>75</v>
      </c>
      <c r="AA1150" t="str">
        <f t="shared" si="17"/>
        <v>Corn</v>
      </c>
    </row>
    <row r="1151" ht="30" customHeight="1" spans="1:27">
      <c r="A1151" s="29" t="s">
        <v>25</v>
      </c>
      <c r="B1151" s="29" t="s">
        <v>461</v>
      </c>
      <c r="C1151" s="13" t="s">
        <v>462</v>
      </c>
      <c r="D1151" s="29" t="s">
        <v>70</v>
      </c>
      <c r="E1151" s="23">
        <v>11764.6132</v>
      </c>
      <c r="F1151" s="20"/>
      <c r="G1151" s="29"/>
      <c r="H1151" s="33"/>
      <c r="I1151" s="29"/>
      <c r="J1151" s="29" t="s">
        <v>64</v>
      </c>
      <c r="AA1151" t="str">
        <f t="shared" si="17"/>
        <v>Rice</v>
      </c>
    </row>
    <row r="1152" ht="30" customHeight="1" spans="1:27">
      <c r="A1152" s="29" t="s">
        <v>25</v>
      </c>
      <c r="B1152" s="29" t="s">
        <v>461</v>
      </c>
      <c r="C1152" s="13" t="s">
        <v>462</v>
      </c>
      <c r="D1152" s="29" t="s">
        <v>91</v>
      </c>
      <c r="E1152" s="19">
        <v>1200</v>
      </c>
      <c r="F1152" s="20"/>
      <c r="G1152" s="29"/>
      <c r="H1152" s="33"/>
      <c r="I1152" s="29"/>
      <c r="J1152" s="29" t="s">
        <v>75</v>
      </c>
      <c r="AA1152" t="str">
        <f t="shared" si="17"/>
        <v>Corn</v>
      </c>
    </row>
    <row r="1153" ht="30" customHeight="1" spans="1:27">
      <c r="A1153" s="29" t="s">
        <v>25</v>
      </c>
      <c r="B1153" s="29" t="s">
        <v>461</v>
      </c>
      <c r="C1153" s="13" t="s">
        <v>462</v>
      </c>
      <c r="D1153" s="29" t="s">
        <v>71</v>
      </c>
      <c r="E1153" s="23">
        <v>1465.1035</v>
      </c>
      <c r="F1153" s="20"/>
      <c r="G1153" s="29"/>
      <c r="H1153" s="33"/>
      <c r="I1153" s="29"/>
      <c r="J1153" s="29" t="s">
        <v>64</v>
      </c>
      <c r="AA1153" t="str">
        <f t="shared" si="17"/>
        <v>Rice</v>
      </c>
    </row>
    <row r="1154" ht="30" customHeight="1" spans="1:27">
      <c r="A1154" s="29" t="s">
        <v>25</v>
      </c>
      <c r="B1154" s="29" t="s">
        <v>461</v>
      </c>
      <c r="C1154" s="13" t="s">
        <v>462</v>
      </c>
      <c r="D1154" s="29" t="s">
        <v>433</v>
      </c>
      <c r="E1154" s="19">
        <v>450</v>
      </c>
      <c r="F1154" s="20"/>
      <c r="G1154" s="29"/>
      <c r="H1154" s="33"/>
      <c r="I1154" s="29"/>
      <c r="J1154" s="29" t="s">
        <v>75</v>
      </c>
      <c r="AA1154" t="str">
        <f t="shared" si="17"/>
        <v>Corn</v>
      </c>
    </row>
    <row r="1155" ht="30" customHeight="1" spans="1:27">
      <c r="A1155" s="29" t="s">
        <v>25</v>
      </c>
      <c r="B1155" s="29" t="s">
        <v>461</v>
      </c>
      <c r="C1155" s="13" t="s">
        <v>462</v>
      </c>
      <c r="D1155" s="29" t="s">
        <v>127</v>
      </c>
      <c r="E1155" s="19">
        <v>200</v>
      </c>
      <c r="F1155" s="20"/>
      <c r="G1155" s="29"/>
      <c r="H1155" s="33"/>
      <c r="I1155" s="29"/>
      <c r="J1155" s="29" t="s">
        <v>75</v>
      </c>
      <c r="AA1155" t="str">
        <f t="shared" si="17"/>
        <v>Corn</v>
      </c>
    </row>
    <row r="1156" ht="30" customHeight="1" spans="1:27">
      <c r="A1156" s="29" t="s">
        <v>25</v>
      </c>
      <c r="B1156" s="29" t="s">
        <v>461</v>
      </c>
      <c r="C1156" s="13" t="s">
        <v>462</v>
      </c>
      <c r="D1156" s="29" t="s">
        <v>244</v>
      </c>
      <c r="E1156" s="19">
        <v>1000</v>
      </c>
      <c r="F1156" s="20"/>
      <c r="G1156" s="29"/>
      <c r="H1156" s="33"/>
      <c r="I1156" s="29"/>
      <c r="J1156" s="29" t="s">
        <v>75</v>
      </c>
      <c r="AA1156" t="str">
        <f t="shared" si="17"/>
        <v>Corn</v>
      </c>
    </row>
    <row r="1157" ht="45" customHeight="1" spans="1:27">
      <c r="A1157" s="29" t="s">
        <v>25</v>
      </c>
      <c r="B1157" s="29" t="s">
        <v>461</v>
      </c>
      <c r="C1157" s="13" t="s">
        <v>462</v>
      </c>
      <c r="D1157" s="29" t="s">
        <v>467</v>
      </c>
      <c r="E1157" s="19"/>
      <c r="F1157" s="20">
        <v>1500</v>
      </c>
      <c r="G1157" s="29"/>
      <c r="H1157" s="29"/>
      <c r="I1157" s="33"/>
      <c r="J1157" s="29" t="s">
        <v>410</v>
      </c>
      <c r="AA1157" t="str">
        <f t="shared" si="17"/>
        <v>Halal Food Products</v>
      </c>
    </row>
    <row r="1158" ht="30" spans="1:27">
      <c r="A1158" s="29" t="s">
        <v>25</v>
      </c>
      <c r="B1158" s="29" t="s">
        <v>461</v>
      </c>
      <c r="C1158" s="13" t="s">
        <v>462</v>
      </c>
      <c r="D1158" s="29" t="s">
        <v>103</v>
      </c>
      <c r="E1158" s="19">
        <v>1650</v>
      </c>
      <c r="F1158" s="20"/>
      <c r="G1158" s="29"/>
      <c r="H1158" s="33"/>
      <c r="I1158" s="29"/>
      <c r="J1158" s="29" t="s">
        <v>75</v>
      </c>
      <c r="AA1158" t="str">
        <f t="shared" si="17"/>
        <v>Corn</v>
      </c>
    </row>
    <row r="1159" ht="30" customHeight="1" spans="1:27">
      <c r="A1159" s="29" t="s">
        <v>25</v>
      </c>
      <c r="B1159" s="29" t="s">
        <v>461</v>
      </c>
      <c r="C1159" s="13" t="s">
        <v>462</v>
      </c>
      <c r="D1159" s="29" t="s">
        <v>74</v>
      </c>
      <c r="E1159" s="19"/>
      <c r="F1159" s="20"/>
      <c r="G1159" s="29"/>
      <c r="H1159" s="33"/>
      <c r="I1159" s="29"/>
      <c r="J1159" s="29" t="s">
        <v>75</v>
      </c>
      <c r="AA1159" t="str">
        <f t="shared" si="17"/>
        <v>Corn</v>
      </c>
    </row>
    <row r="1160" ht="30" spans="1:27">
      <c r="A1160" s="29" t="s">
        <v>25</v>
      </c>
      <c r="B1160" s="29" t="s">
        <v>461</v>
      </c>
      <c r="C1160" s="13" t="s">
        <v>468</v>
      </c>
      <c r="D1160" s="29" t="s">
        <v>125</v>
      </c>
      <c r="E1160" s="19">
        <v>1200</v>
      </c>
      <c r="F1160" s="20"/>
      <c r="G1160" s="29"/>
      <c r="H1160" s="33"/>
      <c r="I1160" s="29"/>
      <c r="J1160" s="29" t="s">
        <v>75</v>
      </c>
      <c r="AA1160" t="str">
        <f t="shared" si="17"/>
        <v>Corn</v>
      </c>
    </row>
    <row r="1161" spans="1:27">
      <c r="A1161" s="29" t="s">
        <v>25</v>
      </c>
      <c r="B1161" s="29" t="s">
        <v>461</v>
      </c>
      <c r="C1161" s="13" t="s">
        <v>468</v>
      </c>
      <c r="D1161" s="29" t="s">
        <v>317</v>
      </c>
      <c r="E1161" s="19">
        <v>1500</v>
      </c>
      <c r="F1161" s="20"/>
      <c r="G1161" s="29"/>
      <c r="H1161" s="33"/>
      <c r="I1161" s="29"/>
      <c r="J1161" s="29" t="s">
        <v>80</v>
      </c>
      <c r="AA1161" t="str">
        <f t="shared" si="17"/>
        <v>Livestock (Cattle/Carabao/Swine/Poultry)</v>
      </c>
    </row>
    <row r="1162" ht="30" customHeight="1" spans="1:27">
      <c r="A1162" s="29" t="s">
        <v>25</v>
      </c>
      <c r="B1162" s="29" t="s">
        <v>461</v>
      </c>
      <c r="C1162" s="13" t="s">
        <v>468</v>
      </c>
      <c r="D1162" s="30" t="s">
        <v>469</v>
      </c>
      <c r="E1162" s="19">
        <v>15500</v>
      </c>
      <c r="F1162" s="20"/>
      <c r="G1162" s="29"/>
      <c r="H1162" s="29"/>
      <c r="I1162" s="29"/>
      <c r="J1162" s="29" t="s">
        <v>29</v>
      </c>
      <c r="AA1162" t="str">
        <f t="shared" ref="AA1162:AA1225" si="18">_xlfn.IFS(J1162="DA-FMRDP","Farm-to-Market Road",J1162="DA-RFO2 RICE","Rice",J1162="DA-RFO2 Rice Program","Rice",J1162="DA-RFO2 CORN","Corn",J1162="DA-RFO2 Corn Program","Corn",J1162="DA-RFO2 HVCDP","High Value Crops (Vegetables/Fruits/Rootcrops)",J1162="DA-RFO2 HVCDP Export","High Value Export Crops (Dragon Fruit/Ube/Okra/Banana)",J1162="DA-RFO2 HVCDP Coffee","Coffee (HVCDP)",J1162="DA-RFO2 LIVESTOCK","Livestock (Cattle/Carabao/Swine/Poultry)",J1162="DA-RFO2 SAAD","Various Commodities (SAAD)",J1162="DA-RFO2 4K","Various Commodities (4Ks)",J1162="DA-RFO2 4KS","Various Commodities (4Ks)",J1162="DA-RFO2 HALAL","Halal Food Products",J1162="DA-RFO2 OAP","Organic Agriculture",J1162="DA-RFO2 NUPAP","Vegetables (NUPAP/Urban Agri)",TRUE,IF(ISNUMBER(SEARCH("FMR",D1162)),"Farm-to-Market Road",IF(ISNUMBER(SEARCH("RICE",D1162)),"Rice",IF(ISNUMBER(SEARCH("CORN",D1162)),"Corn",IF(ISNUMBER(SEARCH("HVCDP COFFEE",D1162)),"Coffee (HVCDP)",IF(ISNUMBER(SEARCH("HVCDP EXPORT",D1162)),"High Value Export Crops (Dragon Fruit/Ube/Okra/Banana)",IF(ISNUMBER(SEARCH("HVCDP",D1162)),"High Value Crops (Vegetables/Fruits/Rootcrops)",IF(ISNUMBER(SEARCH("LIVESTOCK",D1162)),"Livestock (Cattle/Carabao/Swine/Poultry)",IF(ISNUMBER(SEARCH("SAAD",D1162)),"Various Commodities (SAAD)",IF(ISNUMBER(SEARCH("4KS",D1162)),"Various Commodities (4Ks)",IF(ISNUMBER(SEARCH("4K",D1162)),"Various Commodities (4Ks)",IF(ISNUMBER(SEARCH("HALAL",D1162)),"Halal Food Products",IF(ISNUMBER(SEARCH("OAP",D1162)),"Organic Agriculture",IF(ISNUMBER(SEARCH("NUPAP",D1162)),"Vegetables (NUPAP/Urban Agri)",""))))))))))))))</f>
        <v>Farm-to-Market Road</v>
      </c>
    </row>
    <row r="1163" ht="30" customHeight="1" spans="1:27">
      <c r="A1163" s="29" t="s">
        <v>25</v>
      </c>
      <c r="B1163" s="29" t="s">
        <v>461</v>
      </c>
      <c r="C1163" s="13" t="s">
        <v>468</v>
      </c>
      <c r="D1163" s="30" t="s">
        <v>470</v>
      </c>
      <c r="E1163" s="19"/>
      <c r="F1163" s="20">
        <v>16500</v>
      </c>
      <c r="G1163" s="29"/>
      <c r="H1163" s="29"/>
      <c r="I1163" s="29"/>
      <c r="J1163" s="29" t="s">
        <v>29</v>
      </c>
      <c r="AA1163" t="str">
        <f t="shared" si="18"/>
        <v>Farm-to-Market Road</v>
      </c>
    </row>
    <row r="1164" ht="30" customHeight="1" spans="1:27">
      <c r="A1164" s="29" t="s">
        <v>25</v>
      </c>
      <c r="B1164" s="29" t="s">
        <v>461</v>
      </c>
      <c r="C1164" s="13" t="s">
        <v>468</v>
      </c>
      <c r="D1164" s="29" t="s">
        <v>421</v>
      </c>
      <c r="E1164" s="19"/>
      <c r="F1164" s="20"/>
      <c r="G1164" s="29"/>
      <c r="H1164" s="33"/>
      <c r="I1164" s="33"/>
      <c r="J1164" s="29" t="s">
        <v>75</v>
      </c>
      <c r="AA1164" t="str">
        <f t="shared" si="18"/>
        <v>Corn</v>
      </c>
    </row>
    <row r="1165" ht="30" customHeight="1" spans="1:27">
      <c r="A1165" s="29" t="s">
        <v>25</v>
      </c>
      <c r="B1165" s="29" t="s">
        <v>461</v>
      </c>
      <c r="C1165" s="13" t="s">
        <v>468</v>
      </c>
      <c r="D1165" s="29" t="s">
        <v>91</v>
      </c>
      <c r="E1165" s="19"/>
      <c r="F1165" s="20"/>
      <c r="G1165" s="29"/>
      <c r="H1165" s="33"/>
      <c r="I1165" s="29"/>
      <c r="J1165" s="29" t="s">
        <v>75</v>
      </c>
      <c r="AA1165" t="str">
        <f t="shared" si="18"/>
        <v>Corn</v>
      </c>
    </row>
    <row r="1166" ht="30" customHeight="1" spans="1:27">
      <c r="A1166" s="29" t="s">
        <v>25</v>
      </c>
      <c r="B1166" s="29" t="s">
        <v>461</v>
      </c>
      <c r="C1166" s="13" t="s">
        <v>468</v>
      </c>
      <c r="D1166" s="29" t="s">
        <v>433</v>
      </c>
      <c r="E1166" s="19">
        <v>450</v>
      </c>
      <c r="F1166" s="20"/>
      <c r="G1166" s="29"/>
      <c r="H1166" s="33"/>
      <c r="I1166" s="29"/>
      <c r="J1166" s="29" t="s">
        <v>75</v>
      </c>
      <c r="AA1166" t="str">
        <f t="shared" si="18"/>
        <v>Corn</v>
      </c>
    </row>
    <row r="1167" ht="30" customHeight="1" spans="1:27">
      <c r="A1167" s="29" t="s">
        <v>25</v>
      </c>
      <c r="B1167" s="29" t="s">
        <v>461</v>
      </c>
      <c r="C1167" s="13" t="s">
        <v>468</v>
      </c>
      <c r="D1167" s="29" t="s">
        <v>127</v>
      </c>
      <c r="E1167" s="19">
        <v>200</v>
      </c>
      <c r="F1167" s="20"/>
      <c r="G1167" s="29"/>
      <c r="H1167" s="33"/>
      <c r="I1167" s="29"/>
      <c r="J1167" s="29" t="s">
        <v>75</v>
      </c>
      <c r="AA1167" t="str">
        <f t="shared" si="18"/>
        <v>Corn</v>
      </c>
    </row>
    <row r="1168" ht="30" customHeight="1" spans="1:27">
      <c r="A1168" s="29" t="s">
        <v>25</v>
      </c>
      <c r="B1168" s="29" t="s">
        <v>461</v>
      </c>
      <c r="C1168" s="13" t="s">
        <v>468</v>
      </c>
      <c r="D1168" s="29" t="s">
        <v>244</v>
      </c>
      <c r="E1168" s="19">
        <v>1000</v>
      </c>
      <c r="F1168" s="20"/>
      <c r="G1168" s="29"/>
      <c r="H1168" s="33"/>
      <c r="I1168" s="29"/>
      <c r="J1168" s="29" t="s">
        <v>75</v>
      </c>
      <c r="AA1168" t="str">
        <f t="shared" si="18"/>
        <v>Corn</v>
      </c>
    </row>
    <row r="1169" ht="30" customHeight="1" spans="1:27">
      <c r="A1169" s="29" t="s">
        <v>25</v>
      </c>
      <c r="B1169" s="29" t="s">
        <v>461</v>
      </c>
      <c r="C1169" s="13" t="s">
        <v>468</v>
      </c>
      <c r="D1169" s="29" t="s">
        <v>103</v>
      </c>
      <c r="E1169" s="19"/>
      <c r="F1169" s="20"/>
      <c r="G1169" s="29"/>
      <c r="H1169" s="33"/>
      <c r="I1169" s="29"/>
      <c r="J1169" s="29" t="s">
        <v>75</v>
      </c>
      <c r="AA1169" t="str">
        <f t="shared" si="18"/>
        <v>Corn</v>
      </c>
    </row>
    <row r="1170" ht="30" customHeight="1" spans="1:27">
      <c r="A1170" s="29" t="s">
        <v>25</v>
      </c>
      <c r="B1170" s="29" t="s">
        <v>461</v>
      </c>
      <c r="C1170" s="13" t="s">
        <v>468</v>
      </c>
      <c r="D1170" s="29" t="s">
        <v>74</v>
      </c>
      <c r="E1170" s="19"/>
      <c r="F1170" s="20"/>
      <c r="G1170" s="29"/>
      <c r="H1170" s="33"/>
      <c r="I1170" s="29"/>
      <c r="J1170" s="29" t="s">
        <v>75</v>
      </c>
      <c r="AA1170" t="str">
        <f t="shared" si="18"/>
        <v>Corn</v>
      </c>
    </row>
    <row r="1171" ht="45" customHeight="1" spans="1:27">
      <c r="A1171" s="29" t="s">
        <v>25</v>
      </c>
      <c r="B1171" s="29" t="s">
        <v>461</v>
      </c>
      <c r="C1171" s="13" t="s">
        <v>468</v>
      </c>
      <c r="D1171" s="29" t="s">
        <v>184</v>
      </c>
      <c r="E1171" s="19">
        <v>200</v>
      </c>
      <c r="F1171" s="20"/>
      <c r="G1171" s="29"/>
      <c r="H1171" s="33"/>
      <c r="I1171" s="29"/>
      <c r="J1171" s="29" t="s">
        <v>35</v>
      </c>
      <c r="AA1171" t="str">
        <f t="shared" si="18"/>
        <v>High Value Crops (Vegetables/Fruits/Rootcrops)</v>
      </c>
    </row>
    <row r="1172" ht="30" customHeight="1" spans="1:27">
      <c r="A1172" s="29" t="s">
        <v>25</v>
      </c>
      <c r="B1172" s="29" t="s">
        <v>461</v>
      </c>
      <c r="C1172" s="13" t="s">
        <v>471</v>
      </c>
      <c r="D1172" s="30" t="s">
        <v>472</v>
      </c>
      <c r="E1172" s="19"/>
      <c r="F1172" s="20">
        <v>37500</v>
      </c>
      <c r="G1172" s="29"/>
      <c r="H1172" s="29"/>
      <c r="I1172" s="29"/>
      <c r="J1172" s="29" t="s">
        <v>29</v>
      </c>
      <c r="AA1172" t="str">
        <f t="shared" si="18"/>
        <v>Farm-to-Market Road</v>
      </c>
    </row>
    <row r="1173" ht="30" customHeight="1" spans="1:27">
      <c r="A1173" s="29" t="s">
        <v>25</v>
      </c>
      <c r="B1173" s="29" t="s">
        <v>461</v>
      </c>
      <c r="C1173" s="13" t="s">
        <v>471</v>
      </c>
      <c r="D1173" s="30" t="s">
        <v>473</v>
      </c>
      <c r="E1173" s="19"/>
      <c r="F1173" s="20">
        <v>55500</v>
      </c>
      <c r="G1173" s="29"/>
      <c r="H1173" s="29"/>
      <c r="I1173" s="29"/>
      <c r="J1173" s="29" t="s">
        <v>29</v>
      </c>
      <c r="AA1173" t="str">
        <f t="shared" si="18"/>
        <v>Farm-to-Market Road</v>
      </c>
    </row>
    <row r="1174" ht="30" customHeight="1" spans="1:27">
      <c r="A1174" s="29" t="s">
        <v>25</v>
      </c>
      <c r="B1174" s="29" t="s">
        <v>461</v>
      </c>
      <c r="C1174" s="13" t="s">
        <v>471</v>
      </c>
      <c r="D1174" s="30" t="s">
        <v>474</v>
      </c>
      <c r="E1174" s="19"/>
      <c r="F1174" s="20">
        <v>30000</v>
      </c>
      <c r="G1174" s="29"/>
      <c r="H1174" s="29"/>
      <c r="I1174" s="29"/>
      <c r="J1174" s="29" t="s">
        <v>29</v>
      </c>
      <c r="AA1174" t="str">
        <f t="shared" si="18"/>
        <v>Farm-to-Market Road</v>
      </c>
    </row>
    <row r="1175" ht="30" customHeight="1" spans="1:27">
      <c r="A1175" s="29" t="s">
        <v>25</v>
      </c>
      <c r="B1175" s="29" t="s">
        <v>461</v>
      </c>
      <c r="C1175" s="13" t="s">
        <v>471</v>
      </c>
      <c r="D1175" s="30" t="s">
        <v>475</v>
      </c>
      <c r="E1175" s="19">
        <v>15500</v>
      </c>
      <c r="F1175" s="20"/>
      <c r="G1175" s="29"/>
      <c r="H1175" s="29"/>
      <c r="I1175" s="29"/>
      <c r="J1175" s="29" t="s">
        <v>29</v>
      </c>
      <c r="AA1175" t="str">
        <f t="shared" si="18"/>
        <v>Farm-to-Market Road</v>
      </c>
    </row>
    <row r="1176" ht="30" customHeight="1" spans="1:27">
      <c r="A1176" s="29" t="s">
        <v>25</v>
      </c>
      <c r="B1176" s="29" t="s">
        <v>461</v>
      </c>
      <c r="C1176" s="13" t="s">
        <v>471</v>
      </c>
      <c r="D1176" s="29" t="s">
        <v>108</v>
      </c>
      <c r="E1176" s="19">
        <v>600</v>
      </c>
      <c r="F1176" s="20"/>
      <c r="G1176" s="29"/>
      <c r="H1176" s="33"/>
      <c r="I1176" s="29"/>
      <c r="J1176" s="29" t="s">
        <v>96</v>
      </c>
      <c r="AA1176" t="str">
        <f t="shared" si="18"/>
        <v>Corn</v>
      </c>
    </row>
    <row r="1177" ht="30" spans="1:27">
      <c r="A1177" s="29" t="s">
        <v>25</v>
      </c>
      <c r="B1177" s="29" t="s">
        <v>461</v>
      </c>
      <c r="C1177" s="13" t="s">
        <v>471</v>
      </c>
      <c r="D1177" s="29" t="s">
        <v>476</v>
      </c>
      <c r="E1177" s="19"/>
      <c r="F1177" s="20">
        <v>10205</v>
      </c>
      <c r="G1177" s="29"/>
      <c r="H1177" s="29"/>
      <c r="I1177" s="33"/>
      <c r="J1177" s="29" t="s">
        <v>410</v>
      </c>
      <c r="AA1177" t="str">
        <f t="shared" si="18"/>
        <v>Halal Food Products</v>
      </c>
    </row>
    <row r="1178" ht="30" customHeight="1" spans="1:27">
      <c r="A1178" s="29" t="s">
        <v>25</v>
      </c>
      <c r="B1178" s="29" t="s">
        <v>461</v>
      </c>
      <c r="C1178" s="13" t="s">
        <v>471</v>
      </c>
      <c r="D1178" s="29" t="s">
        <v>240</v>
      </c>
      <c r="E1178" s="23">
        <v>6959.5889</v>
      </c>
      <c r="F1178" s="24">
        <v>565.8202</v>
      </c>
      <c r="G1178" s="29"/>
      <c r="H1178" s="33"/>
      <c r="I1178" s="33"/>
      <c r="J1178" s="29" t="s">
        <v>64</v>
      </c>
      <c r="AA1178" t="str">
        <f t="shared" si="18"/>
        <v>Rice</v>
      </c>
    </row>
    <row r="1179" ht="30" customHeight="1" spans="1:27">
      <c r="A1179" s="29" t="s">
        <v>25</v>
      </c>
      <c r="B1179" s="29" t="s">
        <v>461</v>
      </c>
      <c r="C1179" s="13" t="s">
        <v>471</v>
      </c>
      <c r="D1179" s="29" t="s">
        <v>446</v>
      </c>
      <c r="E1179" s="19"/>
      <c r="F1179" s="20">
        <v>500</v>
      </c>
      <c r="G1179" s="29"/>
      <c r="H1179" s="29"/>
      <c r="I1179" s="33"/>
      <c r="J1179" s="29" t="s">
        <v>410</v>
      </c>
      <c r="AA1179" t="str">
        <f t="shared" si="18"/>
        <v>Halal Food Products</v>
      </c>
    </row>
    <row r="1180" spans="1:27">
      <c r="A1180" s="29" t="s">
        <v>25</v>
      </c>
      <c r="B1180" s="29" t="s">
        <v>461</v>
      </c>
      <c r="C1180" s="13" t="s">
        <v>471</v>
      </c>
      <c r="D1180" s="29" t="s">
        <v>421</v>
      </c>
      <c r="E1180" s="19"/>
      <c r="F1180" s="20"/>
      <c r="G1180" s="29"/>
      <c r="H1180" s="33"/>
      <c r="I1180" s="33"/>
      <c r="J1180" s="29" t="s">
        <v>75</v>
      </c>
      <c r="AA1180" t="str">
        <f t="shared" si="18"/>
        <v>Corn</v>
      </c>
    </row>
    <row r="1181" ht="30" spans="1:27">
      <c r="A1181" s="29" t="s">
        <v>25</v>
      </c>
      <c r="B1181" s="29" t="s">
        <v>461</v>
      </c>
      <c r="C1181" s="13" t="s">
        <v>471</v>
      </c>
      <c r="D1181" s="29" t="s">
        <v>70</v>
      </c>
      <c r="E1181" s="23">
        <v>31318.15</v>
      </c>
      <c r="F1181" s="20"/>
      <c r="G1181" s="29"/>
      <c r="H1181" s="33"/>
      <c r="I1181" s="29"/>
      <c r="J1181" s="29" t="s">
        <v>64</v>
      </c>
      <c r="AA1181" t="str">
        <f t="shared" si="18"/>
        <v>Rice</v>
      </c>
    </row>
    <row r="1182" ht="30" customHeight="1" spans="1:27">
      <c r="A1182" s="29" t="s">
        <v>25</v>
      </c>
      <c r="B1182" s="29" t="s">
        <v>461</v>
      </c>
      <c r="C1182" s="13" t="s">
        <v>471</v>
      </c>
      <c r="D1182" s="29" t="s">
        <v>91</v>
      </c>
      <c r="E1182" s="19"/>
      <c r="F1182" s="20"/>
      <c r="G1182" s="29"/>
      <c r="H1182" s="33"/>
      <c r="I1182" s="29"/>
      <c r="J1182" s="29" t="s">
        <v>75</v>
      </c>
      <c r="AA1182" t="str">
        <f t="shared" si="18"/>
        <v>Corn</v>
      </c>
    </row>
    <row r="1183" ht="30" customHeight="1" spans="1:27">
      <c r="A1183" s="29" t="s">
        <v>25</v>
      </c>
      <c r="B1183" s="29" t="s">
        <v>461</v>
      </c>
      <c r="C1183" s="13" t="s">
        <v>471</v>
      </c>
      <c r="D1183" s="29" t="s">
        <v>71</v>
      </c>
      <c r="E1183" s="23">
        <v>3900.1989</v>
      </c>
      <c r="F1183" s="20"/>
      <c r="G1183" s="29"/>
      <c r="H1183" s="33"/>
      <c r="I1183" s="29"/>
      <c r="J1183" s="29" t="s">
        <v>64</v>
      </c>
      <c r="AA1183" t="str">
        <f t="shared" si="18"/>
        <v>Rice</v>
      </c>
    </row>
    <row r="1184" ht="30" customHeight="1" spans="1:27">
      <c r="A1184" s="29" t="s">
        <v>25</v>
      </c>
      <c r="B1184" s="29" t="s">
        <v>461</v>
      </c>
      <c r="C1184" s="13" t="s">
        <v>471</v>
      </c>
      <c r="D1184" s="29" t="s">
        <v>433</v>
      </c>
      <c r="E1184" s="19">
        <v>450</v>
      </c>
      <c r="F1184" s="20"/>
      <c r="G1184" s="29"/>
      <c r="H1184" s="33"/>
      <c r="I1184" s="29"/>
      <c r="J1184" s="29" t="s">
        <v>75</v>
      </c>
      <c r="AA1184" t="str">
        <f t="shared" si="18"/>
        <v>Corn</v>
      </c>
    </row>
    <row r="1185" ht="45" customHeight="1" spans="1:27">
      <c r="A1185" s="29" t="s">
        <v>25</v>
      </c>
      <c r="B1185" s="29" t="s">
        <v>461</v>
      </c>
      <c r="C1185" s="13" t="s">
        <v>471</v>
      </c>
      <c r="D1185" s="29" t="s">
        <v>160</v>
      </c>
      <c r="E1185" s="19">
        <v>2500</v>
      </c>
      <c r="F1185" s="20"/>
      <c r="G1185" s="29"/>
      <c r="H1185" s="33"/>
      <c r="I1185" s="29"/>
      <c r="J1185" s="29" t="s">
        <v>80</v>
      </c>
      <c r="AA1185" t="str">
        <f t="shared" si="18"/>
        <v>Livestock (Cattle/Carabao/Swine/Poultry)</v>
      </c>
    </row>
    <row r="1186" ht="30" customHeight="1" spans="1:27">
      <c r="A1186" s="29" t="s">
        <v>25</v>
      </c>
      <c r="B1186" s="29" t="s">
        <v>461</v>
      </c>
      <c r="C1186" s="13" t="s">
        <v>471</v>
      </c>
      <c r="D1186" s="29" t="s">
        <v>477</v>
      </c>
      <c r="E1186" s="19"/>
      <c r="F1186" s="20">
        <v>12600</v>
      </c>
      <c r="G1186" s="29"/>
      <c r="H1186" s="29"/>
      <c r="I1186" s="33"/>
      <c r="J1186" s="29" t="s">
        <v>410</v>
      </c>
      <c r="AA1186" t="str">
        <f t="shared" si="18"/>
        <v>Halal Food Products</v>
      </c>
    </row>
    <row r="1187" ht="30" customHeight="1" spans="1:27">
      <c r="A1187" s="29" t="s">
        <v>25</v>
      </c>
      <c r="B1187" s="29" t="s">
        <v>461</v>
      </c>
      <c r="C1187" s="13" t="s">
        <v>471</v>
      </c>
      <c r="D1187" s="29" t="s">
        <v>478</v>
      </c>
      <c r="E1187" s="19"/>
      <c r="F1187" s="20">
        <v>240</v>
      </c>
      <c r="G1187" s="29"/>
      <c r="H1187" s="29"/>
      <c r="I1187" s="33"/>
      <c r="J1187" s="29" t="s">
        <v>410</v>
      </c>
      <c r="AA1187" t="str">
        <f t="shared" si="18"/>
        <v>Halal Food Products</v>
      </c>
    </row>
    <row r="1188" ht="30" customHeight="1" spans="1:27">
      <c r="A1188" s="29" t="s">
        <v>25</v>
      </c>
      <c r="B1188" s="29" t="s">
        <v>461</v>
      </c>
      <c r="C1188" s="13" t="s">
        <v>471</v>
      </c>
      <c r="D1188" s="29" t="s">
        <v>73</v>
      </c>
      <c r="E1188" s="19">
        <v>7200</v>
      </c>
      <c r="F1188" s="20"/>
      <c r="G1188" s="29"/>
      <c r="H1188" s="33"/>
      <c r="I1188" s="29"/>
      <c r="J1188" s="29" t="s">
        <v>64</v>
      </c>
      <c r="AA1188" t="str">
        <f t="shared" si="18"/>
        <v>Rice</v>
      </c>
    </row>
    <row r="1189" ht="30" customHeight="1" spans="1:27">
      <c r="A1189" s="29" t="s">
        <v>25</v>
      </c>
      <c r="B1189" s="29" t="s">
        <v>461</v>
      </c>
      <c r="C1189" s="13" t="s">
        <v>471</v>
      </c>
      <c r="D1189" s="29" t="s">
        <v>140</v>
      </c>
      <c r="E1189" s="19">
        <v>60000</v>
      </c>
      <c r="F1189" s="20"/>
      <c r="G1189" s="29"/>
      <c r="H1189" s="33"/>
      <c r="I1189" s="29"/>
      <c r="J1189" s="29" t="s">
        <v>67</v>
      </c>
      <c r="AA1189" t="str">
        <f t="shared" si="18"/>
        <v>Rice</v>
      </c>
    </row>
    <row r="1190" ht="30" customHeight="1" spans="1:27">
      <c r="A1190" s="29" t="s">
        <v>25</v>
      </c>
      <c r="B1190" s="29" t="s">
        <v>461</v>
      </c>
      <c r="C1190" s="13" t="s">
        <v>471</v>
      </c>
      <c r="D1190" s="29" t="s">
        <v>448</v>
      </c>
      <c r="E1190" s="19"/>
      <c r="F1190" s="20">
        <v>50</v>
      </c>
      <c r="G1190" s="29"/>
      <c r="H1190" s="29"/>
      <c r="I1190" s="33"/>
      <c r="J1190" s="29" t="s">
        <v>410</v>
      </c>
      <c r="AA1190" t="str">
        <f t="shared" si="18"/>
        <v>Halal Food Products</v>
      </c>
    </row>
    <row r="1191" ht="30" customHeight="1" spans="1:27">
      <c r="A1191" s="29" t="s">
        <v>25</v>
      </c>
      <c r="B1191" s="29" t="s">
        <v>461</v>
      </c>
      <c r="C1191" s="13" t="s">
        <v>471</v>
      </c>
      <c r="D1191" s="29" t="s">
        <v>449</v>
      </c>
      <c r="E1191" s="19"/>
      <c r="F1191" s="20">
        <v>50</v>
      </c>
      <c r="G1191" s="29"/>
      <c r="H1191" s="29"/>
      <c r="I1191" s="33"/>
      <c r="J1191" s="29" t="s">
        <v>410</v>
      </c>
      <c r="AA1191" t="str">
        <f t="shared" si="18"/>
        <v>Halal Food Products</v>
      </c>
    </row>
    <row r="1192" ht="30" customHeight="1" spans="1:27">
      <c r="A1192" s="29" t="s">
        <v>25</v>
      </c>
      <c r="B1192" s="29" t="s">
        <v>461</v>
      </c>
      <c r="C1192" s="13" t="s">
        <v>471</v>
      </c>
      <c r="D1192" s="29" t="s">
        <v>479</v>
      </c>
      <c r="E1192" s="19">
        <v>600</v>
      </c>
      <c r="F1192" s="20"/>
      <c r="G1192" s="29"/>
      <c r="H1192" s="33"/>
      <c r="I1192" s="29"/>
      <c r="J1192" s="29" t="s">
        <v>75</v>
      </c>
      <c r="AA1192" t="str">
        <f t="shared" si="18"/>
        <v>Corn</v>
      </c>
    </row>
    <row r="1193" ht="30" customHeight="1" spans="1:27">
      <c r="A1193" s="29" t="s">
        <v>25</v>
      </c>
      <c r="B1193" s="29" t="s">
        <v>461</v>
      </c>
      <c r="C1193" s="13" t="s">
        <v>471</v>
      </c>
      <c r="D1193" s="29" t="s">
        <v>103</v>
      </c>
      <c r="E1193" s="19"/>
      <c r="F1193" s="20"/>
      <c r="G1193" s="29"/>
      <c r="H1193" s="33"/>
      <c r="I1193" s="29"/>
      <c r="J1193" s="29" t="s">
        <v>75</v>
      </c>
      <c r="AA1193" t="str">
        <f t="shared" si="18"/>
        <v>Corn</v>
      </c>
    </row>
    <row r="1194" ht="30" customHeight="1" spans="1:27">
      <c r="A1194" s="29" t="s">
        <v>25</v>
      </c>
      <c r="B1194" s="29" t="s">
        <v>461</v>
      </c>
      <c r="C1194" s="13" t="s">
        <v>471</v>
      </c>
      <c r="D1194" s="29" t="s">
        <v>74</v>
      </c>
      <c r="E1194" s="19"/>
      <c r="F1194" s="20"/>
      <c r="G1194" s="29"/>
      <c r="H1194" s="33"/>
      <c r="I1194" s="29"/>
      <c r="J1194" s="29" t="s">
        <v>75</v>
      </c>
      <c r="AA1194" t="str">
        <f t="shared" si="18"/>
        <v>Corn</v>
      </c>
    </row>
    <row r="1195" ht="30" customHeight="1" spans="1:27">
      <c r="A1195" s="29" t="s">
        <v>25</v>
      </c>
      <c r="B1195" s="29" t="s">
        <v>461</v>
      </c>
      <c r="C1195" s="13" t="s">
        <v>480</v>
      </c>
      <c r="D1195" s="29" t="s">
        <v>125</v>
      </c>
      <c r="E1195" s="19">
        <v>1200</v>
      </c>
      <c r="F1195" s="20"/>
      <c r="G1195" s="29"/>
      <c r="H1195" s="33"/>
      <c r="I1195" s="29"/>
      <c r="J1195" s="29" t="s">
        <v>75</v>
      </c>
      <c r="AA1195" t="str">
        <f t="shared" si="18"/>
        <v>Corn</v>
      </c>
    </row>
    <row r="1196" ht="30" customHeight="1" spans="1:27">
      <c r="A1196" s="29" t="s">
        <v>25</v>
      </c>
      <c r="B1196" s="29" t="s">
        <v>461</v>
      </c>
      <c r="C1196" s="13" t="s">
        <v>480</v>
      </c>
      <c r="D1196" s="29" t="s">
        <v>112</v>
      </c>
      <c r="E1196" s="19">
        <v>2100</v>
      </c>
      <c r="F1196" s="20"/>
      <c r="G1196" s="29"/>
      <c r="H1196" s="33"/>
      <c r="I1196" s="29"/>
      <c r="J1196" s="29" t="s">
        <v>96</v>
      </c>
      <c r="AA1196" t="str">
        <f t="shared" si="18"/>
        <v>Corn</v>
      </c>
    </row>
    <row r="1197" ht="30" customHeight="1" spans="1:27">
      <c r="A1197" s="29" t="s">
        <v>25</v>
      </c>
      <c r="B1197" s="29" t="s">
        <v>461</v>
      </c>
      <c r="C1197" s="13" t="s">
        <v>480</v>
      </c>
      <c r="D1197" s="30" t="s">
        <v>481</v>
      </c>
      <c r="E1197" s="19"/>
      <c r="F1197" s="20">
        <v>15000</v>
      </c>
      <c r="G1197" s="29"/>
      <c r="H1197" s="29"/>
      <c r="I1197" s="29"/>
      <c r="J1197" s="29" t="s">
        <v>29</v>
      </c>
      <c r="AA1197" t="str">
        <f t="shared" si="18"/>
        <v>Farm-to-Market Road</v>
      </c>
    </row>
    <row r="1198" ht="30" customHeight="1" spans="1:27">
      <c r="A1198" s="29" t="s">
        <v>25</v>
      </c>
      <c r="B1198" s="29" t="s">
        <v>461</v>
      </c>
      <c r="C1198" s="13" t="s">
        <v>480</v>
      </c>
      <c r="D1198" s="30" t="s">
        <v>482</v>
      </c>
      <c r="E1198" s="19"/>
      <c r="F1198" s="20">
        <v>33000</v>
      </c>
      <c r="G1198" s="29"/>
      <c r="H1198" s="29"/>
      <c r="I1198" s="29"/>
      <c r="J1198" s="29" t="s">
        <v>29</v>
      </c>
      <c r="AA1198" t="str">
        <f t="shared" si="18"/>
        <v>Farm-to-Market Road</v>
      </c>
    </row>
    <row r="1199" ht="30" customHeight="1" spans="1:27">
      <c r="A1199" s="29" t="s">
        <v>25</v>
      </c>
      <c r="B1199" s="29" t="s">
        <v>461</v>
      </c>
      <c r="C1199" s="13" t="s">
        <v>480</v>
      </c>
      <c r="D1199" s="30" t="s">
        <v>483</v>
      </c>
      <c r="E1199" s="19"/>
      <c r="F1199" s="20">
        <v>18966</v>
      </c>
      <c r="G1199" s="29"/>
      <c r="H1199" s="29"/>
      <c r="I1199" s="29"/>
      <c r="J1199" s="29" t="s">
        <v>29</v>
      </c>
      <c r="AA1199" t="str">
        <f t="shared" si="18"/>
        <v>Farm-to-Market Road</v>
      </c>
    </row>
    <row r="1200" ht="30" customHeight="1" spans="1:27">
      <c r="A1200" s="29" t="s">
        <v>25</v>
      </c>
      <c r="B1200" s="29" t="s">
        <v>461</v>
      </c>
      <c r="C1200" s="13" t="s">
        <v>480</v>
      </c>
      <c r="D1200" s="30" t="s">
        <v>484</v>
      </c>
      <c r="E1200" s="19"/>
      <c r="F1200" s="20">
        <v>18000</v>
      </c>
      <c r="G1200" s="29"/>
      <c r="H1200" s="29"/>
      <c r="I1200" s="29"/>
      <c r="J1200" s="29" t="s">
        <v>29</v>
      </c>
      <c r="AA1200" t="str">
        <f t="shared" si="18"/>
        <v>Farm-to-Market Road</v>
      </c>
    </row>
    <row r="1201" ht="30" customHeight="1" spans="1:27">
      <c r="A1201" s="29" t="s">
        <v>25</v>
      </c>
      <c r="B1201" s="29" t="s">
        <v>461</v>
      </c>
      <c r="C1201" s="13" t="s">
        <v>480</v>
      </c>
      <c r="D1201" s="30" t="s">
        <v>485</v>
      </c>
      <c r="E1201" s="19">
        <v>15500</v>
      </c>
      <c r="F1201" s="20"/>
      <c r="G1201" s="29"/>
      <c r="H1201" s="29"/>
      <c r="I1201" s="29"/>
      <c r="J1201" s="29" t="s">
        <v>29</v>
      </c>
      <c r="AA1201" t="str">
        <f t="shared" si="18"/>
        <v>Farm-to-Market Road</v>
      </c>
    </row>
    <row r="1202" ht="30" customHeight="1" spans="1:27">
      <c r="A1202" s="29" t="s">
        <v>25</v>
      </c>
      <c r="B1202" s="29" t="s">
        <v>461</v>
      </c>
      <c r="C1202" s="13" t="s">
        <v>480</v>
      </c>
      <c r="D1202" s="29" t="s">
        <v>114</v>
      </c>
      <c r="E1202" s="19">
        <v>2100</v>
      </c>
      <c r="F1202" s="20"/>
      <c r="G1202" s="29"/>
      <c r="H1202" s="33"/>
      <c r="I1202" s="29"/>
      <c r="J1202" s="29" t="s">
        <v>75</v>
      </c>
      <c r="AA1202" t="str">
        <f t="shared" si="18"/>
        <v>Corn</v>
      </c>
    </row>
    <row r="1203" ht="30" customHeight="1" spans="1:27">
      <c r="A1203" s="29" t="s">
        <v>25</v>
      </c>
      <c r="B1203" s="29" t="s">
        <v>461</v>
      </c>
      <c r="C1203" s="13" t="s">
        <v>480</v>
      </c>
      <c r="D1203" s="29" t="s">
        <v>163</v>
      </c>
      <c r="E1203" s="19">
        <v>600000</v>
      </c>
      <c r="F1203" s="20"/>
      <c r="G1203" s="29"/>
      <c r="H1203" s="33"/>
      <c r="I1203" s="29"/>
      <c r="J1203" s="29" t="s">
        <v>96</v>
      </c>
      <c r="AA1203" t="str">
        <f t="shared" si="18"/>
        <v>Corn</v>
      </c>
    </row>
    <row r="1204" ht="30" customHeight="1" spans="1:27">
      <c r="A1204" s="29" t="s">
        <v>25</v>
      </c>
      <c r="B1204" s="29" t="s">
        <v>461</v>
      </c>
      <c r="C1204" s="13" t="s">
        <v>480</v>
      </c>
      <c r="D1204" s="29" t="s">
        <v>201</v>
      </c>
      <c r="E1204" s="19">
        <v>3750</v>
      </c>
      <c r="F1204" s="20"/>
      <c r="G1204" s="29"/>
      <c r="H1204" s="33"/>
      <c r="I1204" s="29"/>
      <c r="J1204" s="29" t="s">
        <v>134</v>
      </c>
      <c r="AA1204" t="str">
        <f t="shared" si="18"/>
        <v>High Value Export Crops (Dragon Fruit/Ube/Okra/Banana)</v>
      </c>
    </row>
    <row r="1205" ht="30" customHeight="1" spans="1:27">
      <c r="A1205" s="29" t="s">
        <v>25</v>
      </c>
      <c r="B1205" s="29" t="s">
        <v>461</v>
      </c>
      <c r="C1205" s="13" t="s">
        <v>480</v>
      </c>
      <c r="D1205" s="29" t="s">
        <v>133</v>
      </c>
      <c r="E1205" s="19">
        <v>4000</v>
      </c>
      <c r="F1205" s="20"/>
      <c r="G1205" s="29"/>
      <c r="H1205" s="33"/>
      <c r="I1205" s="29"/>
      <c r="J1205" s="29" t="s">
        <v>134</v>
      </c>
      <c r="AA1205" t="str">
        <f t="shared" si="18"/>
        <v>High Value Export Crops (Dragon Fruit/Ube/Okra/Banana)</v>
      </c>
    </row>
    <row r="1206" ht="30" customHeight="1" spans="1:27">
      <c r="A1206" s="29" t="s">
        <v>25</v>
      </c>
      <c r="B1206" s="29" t="s">
        <v>461</v>
      </c>
      <c r="C1206" s="13" t="s">
        <v>480</v>
      </c>
      <c r="D1206" s="29" t="s">
        <v>240</v>
      </c>
      <c r="E1206" s="23">
        <v>3873.8213</v>
      </c>
      <c r="F1206" s="24">
        <v>314.9448</v>
      </c>
      <c r="G1206" s="29"/>
      <c r="H1206" s="33"/>
      <c r="I1206" s="33"/>
      <c r="J1206" s="29" t="s">
        <v>64</v>
      </c>
      <c r="AA1206" t="str">
        <f t="shared" si="18"/>
        <v>Rice</v>
      </c>
    </row>
    <row r="1207" ht="30" customHeight="1" spans="1:27">
      <c r="A1207" s="29" t="s">
        <v>25</v>
      </c>
      <c r="B1207" s="29" t="s">
        <v>461</v>
      </c>
      <c r="C1207" s="13" t="s">
        <v>480</v>
      </c>
      <c r="D1207" s="29" t="s">
        <v>278</v>
      </c>
      <c r="E1207" s="19">
        <v>2400</v>
      </c>
      <c r="F1207" s="20"/>
      <c r="G1207" s="29"/>
      <c r="H1207" s="33"/>
      <c r="I1207" s="29"/>
      <c r="J1207" s="29" t="s">
        <v>96</v>
      </c>
      <c r="AA1207" t="str">
        <f t="shared" si="18"/>
        <v>Corn</v>
      </c>
    </row>
    <row r="1208" ht="30" customHeight="1" spans="1:27">
      <c r="A1208" s="29" t="s">
        <v>25</v>
      </c>
      <c r="B1208" s="29" t="s">
        <v>461</v>
      </c>
      <c r="C1208" s="13" t="s">
        <v>480</v>
      </c>
      <c r="D1208" s="29" t="s">
        <v>280</v>
      </c>
      <c r="E1208" s="19">
        <v>2300</v>
      </c>
      <c r="F1208" s="20"/>
      <c r="G1208" s="29"/>
      <c r="H1208" s="33"/>
      <c r="I1208" s="29"/>
      <c r="J1208" s="29" t="s">
        <v>75</v>
      </c>
      <c r="AA1208" t="str">
        <f t="shared" si="18"/>
        <v>Corn</v>
      </c>
    </row>
    <row r="1209" ht="30" customHeight="1" spans="1:27">
      <c r="A1209" s="29" t="s">
        <v>25</v>
      </c>
      <c r="B1209" s="29" t="s">
        <v>461</v>
      </c>
      <c r="C1209" s="13" t="s">
        <v>480</v>
      </c>
      <c r="D1209" s="29" t="s">
        <v>421</v>
      </c>
      <c r="E1209" s="19"/>
      <c r="F1209" s="20"/>
      <c r="G1209" s="29"/>
      <c r="H1209" s="33"/>
      <c r="I1209" s="33"/>
      <c r="J1209" s="29" t="s">
        <v>75</v>
      </c>
      <c r="AA1209" t="str">
        <f t="shared" si="18"/>
        <v>Corn</v>
      </c>
    </row>
    <row r="1210" ht="30" customHeight="1" spans="1:27">
      <c r="A1210" s="29" t="s">
        <v>25</v>
      </c>
      <c r="B1210" s="29" t="s">
        <v>461</v>
      </c>
      <c r="C1210" s="13" t="s">
        <v>480</v>
      </c>
      <c r="D1210" s="29" t="s">
        <v>70</v>
      </c>
      <c r="E1210" s="23">
        <v>17432.1958</v>
      </c>
      <c r="F1210" s="20"/>
      <c r="G1210" s="29"/>
      <c r="H1210" s="33"/>
      <c r="I1210" s="29"/>
      <c r="J1210" s="29" t="s">
        <v>64</v>
      </c>
      <c r="AA1210" t="str">
        <f t="shared" si="18"/>
        <v>Rice</v>
      </c>
    </row>
    <row r="1211" ht="30" customHeight="1" spans="1:27">
      <c r="A1211" s="29" t="s">
        <v>25</v>
      </c>
      <c r="B1211" s="29" t="s">
        <v>461</v>
      </c>
      <c r="C1211" s="13" t="s">
        <v>480</v>
      </c>
      <c r="D1211" s="29" t="s">
        <v>91</v>
      </c>
      <c r="E1211" s="19"/>
      <c r="F1211" s="20"/>
      <c r="G1211" s="29"/>
      <c r="H1211" s="33"/>
      <c r="I1211" s="29"/>
      <c r="J1211" s="29" t="s">
        <v>75</v>
      </c>
      <c r="AA1211" t="str">
        <f t="shared" si="18"/>
        <v>Corn</v>
      </c>
    </row>
    <row r="1212" ht="30" customHeight="1" spans="1:27">
      <c r="A1212" s="29" t="s">
        <v>25</v>
      </c>
      <c r="B1212" s="29" t="s">
        <v>461</v>
      </c>
      <c r="C1212" s="13" t="s">
        <v>480</v>
      </c>
      <c r="D1212" s="29" t="s">
        <v>71</v>
      </c>
      <c r="E1212" s="23">
        <v>2170.9147</v>
      </c>
      <c r="F1212" s="20"/>
      <c r="G1212" s="29"/>
      <c r="H1212" s="33"/>
      <c r="I1212" s="29"/>
      <c r="J1212" s="29" t="s">
        <v>64</v>
      </c>
      <c r="AA1212" t="str">
        <f t="shared" si="18"/>
        <v>Rice</v>
      </c>
    </row>
    <row r="1213" ht="30" customHeight="1" spans="1:27">
      <c r="A1213" s="29" t="s">
        <v>25</v>
      </c>
      <c r="B1213" s="29" t="s">
        <v>461</v>
      </c>
      <c r="C1213" s="13" t="s">
        <v>480</v>
      </c>
      <c r="D1213" s="29" t="s">
        <v>433</v>
      </c>
      <c r="E1213" s="19">
        <v>450</v>
      </c>
      <c r="F1213" s="20"/>
      <c r="G1213" s="29"/>
      <c r="H1213" s="33"/>
      <c r="I1213" s="29"/>
      <c r="J1213" s="29" t="s">
        <v>75</v>
      </c>
      <c r="AA1213" t="str">
        <f t="shared" si="18"/>
        <v>Corn</v>
      </c>
    </row>
    <row r="1214" ht="30" customHeight="1" spans="1:27">
      <c r="A1214" s="29" t="s">
        <v>25</v>
      </c>
      <c r="B1214" s="29" t="s">
        <v>461</v>
      </c>
      <c r="C1214" s="13" t="s">
        <v>480</v>
      </c>
      <c r="D1214" s="29" t="s">
        <v>98</v>
      </c>
      <c r="E1214" s="19">
        <v>60</v>
      </c>
      <c r="F1214" s="20"/>
      <c r="G1214" s="29"/>
      <c r="H1214" s="33"/>
      <c r="I1214" s="29"/>
      <c r="J1214" s="29" t="s">
        <v>35</v>
      </c>
      <c r="AA1214" t="str">
        <f t="shared" si="18"/>
        <v>High Value Crops (Vegetables/Fruits/Rootcrops)</v>
      </c>
    </row>
    <row r="1215" ht="30" customHeight="1" spans="1:27">
      <c r="A1215" s="29" t="s">
        <v>25</v>
      </c>
      <c r="B1215" s="29" t="s">
        <v>461</v>
      </c>
      <c r="C1215" s="13" t="s">
        <v>480</v>
      </c>
      <c r="D1215" s="29" t="s">
        <v>127</v>
      </c>
      <c r="E1215" s="19">
        <v>200</v>
      </c>
      <c r="F1215" s="20"/>
      <c r="G1215" s="29"/>
      <c r="H1215" s="33"/>
      <c r="I1215" s="29"/>
      <c r="J1215" s="29" t="s">
        <v>75</v>
      </c>
      <c r="AA1215" t="str">
        <f t="shared" si="18"/>
        <v>Corn</v>
      </c>
    </row>
    <row r="1216" ht="30" customHeight="1" spans="1:27">
      <c r="A1216" s="29" t="s">
        <v>25</v>
      </c>
      <c r="B1216" s="29" t="s">
        <v>461</v>
      </c>
      <c r="C1216" s="13" t="s">
        <v>480</v>
      </c>
      <c r="D1216" s="29" t="s">
        <v>244</v>
      </c>
      <c r="E1216" s="19">
        <v>1000</v>
      </c>
      <c r="F1216" s="20"/>
      <c r="G1216" s="29"/>
      <c r="H1216" s="33"/>
      <c r="I1216" s="29"/>
      <c r="J1216" s="29" t="s">
        <v>75</v>
      </c>
      <c r="AA1216" t="str">
        <f t="shared" si="18"/>
        <v>Corn</v>
      </c>
    </row>
    <row r="1217" ht="30" customHeight="1" spans="1:27">
      <c r="A1217" s="29" t="s">
        <v>25</v>
      </c>
      <c r="B1217" s="29" t="s">
        <v>461</v>
      </c>
      <c r="C1217" s="13" t="s">
        <v>480</v>
      </c>
      <c r="D1217" s="29" t="s">
        <v>36</v>
      </c>
      <c r="E1217" s="19">
        <v>750</v>
      </c>
      <c r="F1217" s="20"/>
      <c r="G1217" s="29"/>
      <c r="H1217" s="33"/>
      <c r="I1217" s="29"/>
      <c r="J1217" s="29" t="s">
        <v>35</v>
      </c>
      <c r="AA1217" t="str">
        <f t="shared" si="18"/>
        <v>High Value Crops (Vegetables/Fruits/Rootcrops)</v>
      </c>
    </row>
    <row r="1218" ht="30" customHeight="1" spans="1:27">
      <c r="A1218" s="29" t="s">
        <v>25</v>
      </c>
      <c r="B1218" s="29" t="s">
        <v>461</v>
      </c>
      <c r="C1218" s="13" t="s">
        <v>480</v>
      </c>
      <c r="D1218" s="29" t="s">
        <v>136</v>
      </c>
      <c r="E1218" s="19">
        <v>182.5</v>
      </c>
      <c r="F1218" s="20"/>
      <c r="G1218" s="29"/>
      <c r="H1218" s="33"/>
      <c r="I1218" s="29"/>
      <c r="J1218" s="29" t="s">
        <v>75</v>
      </c>
      <c r="AA1218" t="str">
        <f t="shared" si="18"/>
        <v>Corn</v>
      </c>
    </row>
    <row r="1219" ht="30" customHeight="1" spans="1:27">
      <c r="A1219" s="29" t="s">
        <v>25</v>
      </c>
      <c r="B1219" s="29" t="s">
        <v>461</v>
      </c>
      <c r="C1219" s="13" t="s">
        <v>480</v>
      </c>
      <c r="D1219" s="29" t="s">
        <v>141</v>
      </c>
      <c r="E1219" s="19">
        <v>11000</v>
      </c>
      <c r="F1219" s="20"/>
      <c r="G1219" s="29"/>
      <c r="H1219" s="33"/>
      <c r="I1219" s="29"/>
      <c r="J1219" s="29" t="s">
        <v>67</v>
      </c>
      <c r="AA1219" t="str">
        <f t="shared" si="18"/>
        <v>Rice</v>
      </c>
    </row>
    <row r="1220" ht="30" customHeight="1" spans="1:27">
      <c r="A1220" s="29" t="s">
        <v>25</v>
      </c>
      <c r="B1220" s="29" t="s">
        <v>461</v>
      </c>
      <c r="C1220" s="13" t="s">
        <v>480</v>
      </c>
      <c r="D1220" s="29" t="s">
        <v>103</v>
      </c>
      <c r="E1220" s="19"/>
      <c r="F1220" s="20"/>
      <c r="G1220" s="29"/>
      <c r="H1220" s="33"/>
      <c r="I1220" s="29"/>
      <c r="J1220" s="29" t="s">
        <v>75</v>
      </c>
      <c r="AA1220" t="str">
        <f t="shared" si="18"/>
        <v>Corn</v>
      </c>
    </row>
    <row r="1221" ht="45" customHeight="1" spans="1:27">
      <c r="A1221" s="29" t="s">
        <v>25</v>
      </c>
      <c r="B1221" s="29" t="s">
        <v>461</v>
      </c>
      <c r="C1221" s="13" t="s">
        <v>480</v>
      </c>
      <c r="D1221" s="29" t="s">
        <v>74</v>
      </c>
      <c r="E1221" s="19"/>
      <c r="F1221" s="20"/>
      <c r="G1221" s="29"/>
      <c r="H1221" s="33"/>
      <c r="I1221" s="29"/>
      <c r="J1221" s="29" t="s">
        <v>75</v>
      </c>
      <c r="AA1221" t="str">
        <f t="shared" si="18"/>
        <v>Corn</v>
      </c>
    </row>
    <row r="1222" ht="30" customHeight="1" spans="1:27">
      <c r="A1222" s="29" t="s">
        <v>25</v>
      </c>
      <c r="B1222" s="29" t="s">
        <v>461</v>
      </c>
      <c r="C1222" s="13" t="s">
        <v>486</v>
      </c>
      <c r="D1222" s="30" t="s">
        <v>487</v>
      </c>
      <c r="E1222" s="19">
        <v>46500</v>
      </c>
      <c r="F1222" s="20"/>
      <c r="G1222" s="29"/>
      <c r="H1222" s="29"/>
      <c r="I1222" s="29"/>
      <c r="J1222" s="29" t="s">
        <v>29</v>
      </c>
      <c r="AA1222" t="str">
        <f t="shared" si="18"/>
        <v>Farm-to-Market Road</v>
      </c>
    </row>
    <row r="1223" ht="30" customHeight="1" spans="1:27">
      <c r="A1223" s="29" t="s">
        <v>25</v>
      </c>
      <c r="B1223" s="29" t="s">
        <v>461</v>
      </c>
      <c r="C1223" s="13" t="s">
        <v>486</v>
      </c>
      <c r="D1223" s="30" t="s">
        <v>488</v>
      </c>
      <c r="E1223" s="19"/>
      <c r="F1223" s="20">
        <v>15000</v>
      </c>
      <c r="G1223" s="29"/>
      <c r="H1223" s="29"/>
      <c r="I1223" s="29"/>
      <c r="J1223" s="29" t="s">
        <v>29</v>
      </c>
      <c r="AA1223" t="str">
        <f t="shared" si="18"/>
        <v>Farm-to-Market Road</v>
      </c>
    </row>
    <row r="1224" ht="30" customHeight="1" spans="1:27">
      <c r="A1224" s="29" t="s">
        <v>25</v>
      </c>
      <c r="B1224" s="29" t="s">
        <v>461</v>
      </c>
      <c r="C1224" s="13" t="s">
        <v>486</v>
      </c>
      <c r="D1224" s="30" t="s">
        <v>489</v>
      </c>
      <c r="E1224" s="19"/>
      <c r="F1224" s="20">
        <v>21750</v>
      </c>
      <c r="G1224" s="29"/>
      <c r="H1224" s="29"/>
      <c r="I1224" s="29"/>
      <c r="J1224" s="29" t="s">
        <v>29</v>
      </c>
      <c r="AA1224" t="str">
        <f t="shared" si="18"/>
        <v>Farm-to-Market Road</v>
      </c>
    </row>
    <row r="1225" ht="30" customHeight="1" spans="1:27">
      <c r="A1225" s="29" t="s">
        <v>25</v>
      </c>
      <c r="B1225" s="29" t="s">
        <v>461</v>
      </c>
      <c r="C1225" s="13" t="s">
        <v>486</v>
      </c>
      <c r="D1225" s="29" t="s">
        <v>133</v>
      </c>
      <c r="E1225" s="19">
        <v>4000</v>
      </c>
      <c r="F1225" s="20"/>
      <c r="G1225" s="29"/>
      <c r="H1225" s="33"/>
      <c r="I1225" s="29"/>
      <c r="J1225" s="29" t="s">
        <v>134</v>
      </c>
      <c r="AA1225" t="str">
        <f t="shared" si="18"/>
        <v>High Value Export Crops (Dragon Fruit/Ube/Okra/Banana)</v>
      </c>
    </row>
    <row r="1226" ht="30" customHeight="1" spans="1:27">
      <c r="A1226" s="29" t="s">
        <v>25</v>
      </c>
      <c r="B1226" s="29" t="s">
        <v>461</v>
      </c>
      <c r="C1226" s="13" t="s">
        <v>486</v>
      </c>
      <c r="D1226" s="29" t="s">
        <v>240</v>
      </c>
      <c r="E1226" s="23">
        <v>1884.1714</v>
      </c>
      <c r="F1226" s="24">
        <v>153.1847</v>
      </c>
      <c r="G1226" s="29"/>
      <c r="H1226" s="33"/>
      <c r="I1226" s="33"/>
      <c r="J1226" s="29" t="s">
        <v>64</v>
      </c>
      <c r="AA1226" t="str">
        <f t="shared" ref="AA1226:AA1265" si="19">_xlfn.IFS(J1226="DA-FMRDP","Farm-to-Market Road",J1226="DA-RFO2 RICE","Rice",J1226="DA-RFO2 Rice Program","Rice",J1226="DA-RFO2 CORN","Corn",J1226="DA-RFO2 Corn Program","Corn",J1226="DA-RFO2 HVCDP","High Value Crops (Vegetables/Fruits/Rootcrops)",J1226="DA-RFO2 HVCDP Export","High Value Export Crops (Dragon Fruit/Ube/Okra/Banana)",J1226="DA-RFO2 HVCDP Coffee","Coffee (HVCDP)",J1226="DA-RFO2 LIVESTOCK","Livestock (Cattle/Carabao/Swine/Poultry)",J1226="DA-RFO2 SAAD","Various Commodities (SAAD)",J1226="DA-RFO2 4K","Various Commodities (4Ks)",J1226="DA-RFO2 4KS","Various Commodities (4Ks)",J1226="DA-RFO2 HALAL","Halal Food Products",J1226="DA-RFO2 OAP","Organic Agriculture",J1226="DA-RFO2 NUPAP","Vegetables (NUPAP/Urban Agri)",TRUE,IF(ISNUMBER(SEARCH("FMR",D1226)),"Farm-to-Market Road",IF(ISNUMBER(SEARCH("RICE",D1226)),"Rice",IF(ISNUMBER(SEARCH("CORN",D1226)),"Corn",IF(ISNUMBER(SEARCH("HVCDP COFFEE",D1226)),"Coffee (HVCDP)",IF(ISNUMBER(SEARCH("HVCDP EXPORT",D1226)),"High Value Export Crops (Dragon Fruit/Ube/Okra/Banana)",IF(ISNUMBER(SEARCH("HVCDP",D1226)),"High Value Crops (Vegetables/Fruits/Rootcrops)",IF(ISNUMBER(SEARCH("LIVESTOCK",D1226)),"Livestock (Cattle/Carabao/Swine/Poultry)",IF(ISNUMBER(SEARCH("SAAD",D1226)),"Various Commodities (SAAD)",IF(ISNUMBER(SEARCH("4KS",D1226)),"Various Commodities (4Ks)",IF(ISNUMBER(SEARCH("4K",D1226)),"Various Commodities (4Ks)",IF(ISNUMBER(SEARCH("HALAL",D1226)),"Halal Food Products",IF(ISNUMBER(SEARCH("OAP",D1226)),"Organic Agriculture",IF(ISNUMBER(SEARCH("NUPAP",D1226)),"Vegetables (NUPAP/Urban Agri)",""))))))))))))))</f>
        <v>Rice</v>
      </c>
    </row>
    <row r="1227" ht="30" customHeight="1" spans="1:27">
      <c r="A1227" s="29" t="s">
        <v>25</v>
      </c>
      <c r="B1227" s="29" t="s">
        <v>461</v>
      </c>
      <c r="C1227" s="13" t="s">
        <v>486</v>
      </c>
      <c r="D1227" s="29" t="s">
        <v>490</v>
      </c>
      <c r="E1227" s="19">
        <v>31.4</v>
      </c>
      <c r="F1227" s="20"/>
      <c r="G1227" s="29"/>
      <c r="H1227" s="33"/>
      <c r="I1227" s="29"/>
      <c r="J1227" s="29" t="s">
        <v>491</v>
      </c>
      <c r="AA1227" t="str">
        <f t="shared" si="19"/>
        <v>Various Commodities (4Ks)</v>
      </c>
    </row>
    <row r="1228" ht="30" customHeight="1" spans="1:27">
      <c r="A1228" s="29" t="s">
        <v>25</v>
      </c>
      <c r="B1228" s="29" t="s">
        <v>461</v>
      </c>
      <c r="C1228" s="13" t="s">
        <v>486</v>
      </c>
      <c r="D1228" s="29" t="s">
        <v>492</v>
      </c>
      <c r="E1228" s="19">
        <v>450</v>
      </c>
      <c r="F1228" s="20"/>
      <c r="G1228" s="29"/>
      <c r="H1228" s="33"/>
      <c r="I1228" s="29"/>
      <c r="J1228" s="29" t="s">
        <v>491</v>
      </c>
      <c r="AA1228" t="str">
        <f t="shared" si="19"/>
        <v>Various Commodities (4Ks)</v>
      </c>
    </row>
    <row r="1229" ht="30" customHeight="1" spans="1:27">
      <c r="A1229" s="29" t="s">
        <v>25</v>
      </c>
      <c r="B1229" s="29" t="s">
        <v>461</v>
      </c>
      <c r="C1229" s="13" t="s">
        <v>486</v>
      </c>
      <c r="D1229" s="29" t="s">
        <v>493</v>
      </c>
      <c r="E1229" s="19">
        <v>25</v>
      </c>
      <c r="F1229" s="20"/>
      <c r="G1229" s="29"/>
      <c r="H1229" s="33"/>
      <c r="I1229" s="29"/>
      <c r="J1229" s="29" t="s">
        <v>491</v>
      </c>
      <c r="AA1229" t="str">
        <f t="shared" si="19"/>
        <v>Various Commodities (4Ks)</v>
      </c>
    </row>
    <row r="1230" ht="30" customHeight="1" spans="1:27">
      <c r="A1230" s="29" t="s">
        <v>25</v>
      </c>
      <c r="B1230" s="29" t="s">
        <v>461</v>
      </c>
      <c r="C1230" s="13" t="s">
        <v>486</v>
      </c>
      <c r="D1230" s="29" t="s">
        <v>446</v>
      </c>
      <c r="E1230" s="19"/>
      <c r="F1230" s="20">
        <v>500</v>
      </c>
      <c r="G1230" s="29"/>
      <c r="H1230" s="29"/>
      <c r="I1230" s="33"/>
      <c r="J1230" s="29" t="s">
        <v>410</v>
      </c>
      <c r="AA1230" t="str">
        <f t="shared" si="19"/>
        <v>Halal Food Products</v>
      </c>
    </row>
    <row r="1231" ht="45" customHeight="1" spans="1:27">
      <c r="A1231" s="29" t="s">
        <v>25</v>
      </c>
      <c r="B1231" s="29" t="s">
        <v>461</v>
      </c>
      <c r="C1231" s="13" t="s">
        <v>486</v>
      </c>
      <c r="D1231" s="29" t="s">
        <v>421</v>
      </c>
      <c r="E1231" s="19"/>
      <c r="F1231" s="20"/>
      <c r="G1231" s="29"/>
      <c r="H1231" s="33"/>
      <c r="I1231" s="33"/>
      <c r="J1231" s="29" t="s">
        <v>75</v>
      </c>
      <c r="AA1231" t="str">
        <f t="shared" si="19"/>
        <v>Corn</v>
      </c>
    </row>
    <row r="1232" ht="30" customHeight="1" spans="1:27">
      <c r="A1232" s="29" t="s">
        <v>25</v>
      </c>
      <c r="B1232" s="29" t="s">
        <v>461</v>
      </c>
      <c r="C1232" s="13" t="s">
        <v>486</v>
      </c>
      <c r="D1232" s="29" t="s">
        <v>70</v>
      </c>
      <c r="E1232" s="23">
        <v>8478.7714</v>
      </c>
      <c r="F1232" s="20"/>
      <c r="G1232" s="29"/>
      <c r="H1232" s="33"/>
      <c r="I1232" s="29"/>
      <c r="J1232" s="29" t="s">
        <v>64</v>
      </c>
      <c r="AA1232" t="str">
        <f t="shared" si="19"/>
        <v>Rice</v>
      </c>
    </row>
    <row r="1233" ht="45" customHeight="1" spans="1:27">
      <c r="A1233" s="29" t="s">
        <v>25</v>
      </c>
      <c r="B1233" s="29" t="s">
        <v>461</v>
      </c>
      <c r="C1233" s="13" t="s">
        <v>486</v>
      </c>
      <c r="D1233" s="29" t="s">
        <v>71</v>
      </c>
      <c r="E1233" s="23">
        <v>1055.9019</v>
      </c>
      <c r="F1233" s="20"/>
      <c r="G1233" s="29"/>
      <c r="H1233" s="33"/>
      <c r="I1233" s="29"/>
      <c r="J1233" s="29" t="s">
        <v>64</v>
      </c>
      <c r="AA1233" t="str">
        <f t="shared" si="19"/>
        <v>Rice</v>
      </c>
    </row>
    <row r="1234" ht="30" customHeight="1" spans="1:27">
      <c r="A1234" s="29" t="s">
        <v>25</v>
      </c>
      <c r="B1234" s="29" t="s">
        <v>461</v>
      </c>
      <c r="C1234" s="13" t="s">
        <v>486</v>
      </c>
      <c r="D1234" s="29" t="s">
        <v>494</v>
      </c>
      <c r="E1234" s="19">
        <v>10</v>
      </c>
      <c r="F1234" s="20"/>
      <c r="G1234" s="29"/>
      <c r="H1234" s="33"/>
      <c r="I1234" s="29"/>
      <c r="J1234" s="29" t="s">
        <v>491</v>
      </c>
      <c r="AA1234" t="str">
        <f t="shared" si="19"/>
        <v>Various Commodities (4Ks)</v>
      </c>
    </row>
    <row r="1235" ht="45" customHeight="1" spans="1:27">
      <c r="A1235" s="29" t="s">
        <v>25</v>
      </c>
      <c r="B1235" s="29" t="s">
        <v>461</v>
      </c>
      <c r="C1235" s="13" t="s">
        <v>486</v>
      </c>
      <c r="D1235" s="29" t="s">
        <v>495</v>
      </c>
      <c r="E1235" s="19">
        <v>74.168</v>
      </c>
      <c r="F1235" s="20"/>
      <c r="G1235" s="29"/>
      <c r="H1235" s="33"/>
      <c r="I1235" s="29"/>
      <c r="J1235" s="29" t="s">
        <v>491</v>
      </c>
      <c r="AA1235" t="str">
        <f t="shared" si="19"/>
        <v>Various Commodities (4Ks)</v>
      </c>
    </row>
    <row r="1236" ht="30" customHeight="1" spans="1:27">
      <c r="A1236" s="29" t="s">
        <v>25</v>
      </c>
      <c r="B1236" s="29" t="s">
        <v>461</v>
      </c>
      <c r="C1236" s="13" t="s">
        <v>486</v>
      </c>
      <c r="D1236" s="29" t="s">
        <v>496</v>
      </c>
      <c r="E1236" s="19">
        <v>100</v>
      </c>
      <c r="F1236" s="20"/>
      <c r="G1236" s="29"/>
      <c r="H1236" s="33"/>
      <c r="I1236" s="29"/>
      <c r="J1236" s="29" t="s">
        <v>491</v>
      </c>
      <c r="AA1236" t="str">
        <f t="shared" si="19"/>
        <v>Various Commodities (4Ks)</v>
      </c>
    </row>
    <row r="1237" ht="30" customHeight="1" spans="1:27">
      <c r="A1237" s="29" t="s">
        <v>25</v>
      </c>
      <c r="B1237" s="29" t="s">
        <v>461</v>
      </c>
      <c r="C1237" s="13" t="s">
        <v>486</v>
      </c>
      <c r="D1237" s="29" t="s">
        <v>497</v>
      </c>
      <c r="E1237" s="19">
        <v>20</v>
      </c>
      <c r="F1237" s="20"/>
      <c r="G1237" s="29"/>
      <c r="H1237" s="33"/>
      <c r="I1237" s="29"/>
      <c r="J1237" s="29" t="s">
        <v>491</v>
      </c>
      <c r="AA1237" t="str">
        <f t="shared" si="19"/>
        <v>Various Commodities (4Ks)</v>
      </c>
    </row>
    <row r="1238" ht="30" customHeight="1" spans="1:27">
      <c r="A1238" s="29" t="s">
        <v>25</v>
      </c>
      <c r="B1238" s="29" t="s">
        <v>461</v>
      </c>
      <c r="C1238" s="13" t="s">
        <v>486</v>
      </c>
      <c r="D1238" s="29" t="s">
        <v>477</v>
      </c>
      <c r="E1238" s="19"/>
      <c r="F1238" s="20">
        <v>12600</v>
      </c>
      <c r="G1238" s="29"/>
      <c r="H1238" s="29"/>
      <c r="I1238" s="33"/>
      <c r="J1238" s="29" t="s">
        <v>410</v>
      </c>
      <c r="AA1238" t="str">
        <f t="shared" si="19"/>
        <v>Halal Food Products</v>
      </c>
    </row>
    <row r="1239" ht="30" customHeight="1" spans="1:27">
      <c r="A1239" s="29" t="s">
        <v>25</v>
      </c>
      <c r="B1239" s="29" t="s">
        <v>461</v>
      </c>
      <c r="C1239" s="13" t="s">
        <v>486</v>
      </c>
      <c r="D1239" s="29" t="s">
        <v>478</v>
      </c>
      <c r="E1239" s="19"/>
      <c r="F1239" s="20">
        <v>240</v>
      </c>
      <c r="G1239" s="29"/>
      <c r="H1239" s="29"/>
      <c r="I1239" s="33"/>
      <c r="J1239" s="29" t="s">
        <v>410</v>
      </c>
      <c r="AA1239" t="str">
        <f t="shared" si="19"/>
        <v>Halal Food Products</v>
      </c>
    </row>
    <row r="1240" ht="30" customHeight="1" spans="1:27">
      <c r="A1240" s="29" t="s">
        <v>25</v>
      </c>
      <c r="B1240" s="29" t="s">
        <v>461</v>
      </c>
      <c r="C1240" s="13" t="s">
        <v>486</v>
      </c>
      <c r="D1240" s="29" t="s">
        <v>498</v>
      </c>
      <c r="E1240" s="19">
        <v>3500</v>
      </c>
      <c r="F1240" s="20"/>
      <c r="G1240" s="29"/>
      <c r="H1240" s="33"/>
      <c r="I1240" s="29"/>
      <c r="J1240" s="29" t="s">
        <v>75</v>
      </c>
      <c r="AA1240" t="str">
        <f t="shared" si="19"/>
        <v>Corn</v>
      </c>
    </row>
    <row r="1241" ht="30" customHeight="1" spans="1:27">
      <c r="A1241" s="29" t="s">
        <v>25</v>
      </c>
      <c r="B1241" s="29" t="s">
        <v>461</v>
      </c>
      <c r="C1241" s="13" t="s">
        <v>486</v>
      </c>
      <c r="D1241" s="29" t="s">
        <v>499</v>
      </c>
      <c r="E1241" s="19">
        <v>3500</v>
      </c>
      <c r="F1241" s="20"/>
      <c r="G1241" s="29"/>
      <c r="H1241" s="33"/>
      <c r="I1241" s="29"/>
      <c r="J1241" s="29" t="s">
        <v>75</v>
      </c>
      <c r="AA1241" t="str">
        <f t="shared" si="19"/>
        <v>Corn</v>
      </c>
    </row>
    <row r="1242" ht="30" customHeight="1" spans="1:27">
      <c r="A1242" s="29" t="s">
        <v>25</v>
      </c>
      <c r="B1242" s="29" t="s">
        <v>461</v>
      </c>
      <c r="C1242" s="13" t="s">
        <v>486</v>
      </c>
      <c r="D1242" s="29" t="s">
        <v>448</v>
      </c>
      <c r="E1242" s="19"/>
      <c r="F1242" s="20">
        <v>50</v>
      </c>
      <c r="G1242" s="29"/>
      <c r="H1242" s="29"/>
      <c r="I1242" s="33"/>
      <c r="J1242" s="29" t="s">
        <v>410</v>
      </c>
      <c r="AA1242" t="str">
        <f t="shared" si="19"/>
        <v>Halal Food Products</v>
      </c>
    </row>
    <row r="1243" ht="30" customHeight="1" spans="1:27">
      <c r="A1243" s="29" t="s">
        <v>25</v>
      </c>
      <c r="B1243" s="29" t="s">
        <v>461</v>
      </c>
      <c r="C1243" s="13" t="s">
        <v>486</v>
      </c>
      <c r="D1243" s="29" t="s">
        <v>449</v>
      </c>
      <c r="E1243" s="19"/>
      <c r="F1243" s="20">
        <v>50</v>
      </c>
      <c r="G1243" s="29"/>
      <c r="H1243" s="29"/>
      <c r="I1243" s="33"/>
      <c r="J1243" s="29" t="s">
        <v>410</v>
      </c>
      <c r="AA1243" t="str">
        <f t="shared" si="19"/>
        <v>Halal Food Products</v>
      </c>
    </row>
    <row r="1244" ht="30" customHeight="1" spans="1:27">
      <c r="A1244" s="29" t="s">
        <v>25</v>
      </c>
      <c r="B1244" s="29" t="s">
        <v>461</v>
      </c>
      <c r="C1244" s="13" t="s">
        <v>486</v>
      </c>
      <c r="D1244" s="29" t="s">
        <v>500</v>
      </c>
      <c r="E1244" s="19">
        <v>600</v>
      </c>
      <c r="F1244" s="20"/>
      <c r="G1244" s="29"/>
      <c r="H1244" s="33"/>
      <c r="I1244" s="29"/>
      <c r="J1244" s="29" t="s">
        <v>491</v>
      </c>
      <c r="AA1244" t="str">
        <f t="shared" si="19"/>
        <v>Various Commodities (4Ks)</v>
      </c>
    </row>
    <row r="1245" ht="30" customHeight="1" spans="1:27">
      <c r="A1245" s="29" t="s">
        <v>25</v>
      </c>
      <c r="B1245" s="29" t="s">
        <v>461</v>
      </c>
      <c r="C1245" s="13" t="s">
        <v>486</v>
      </c>
      <c r="D1245" s="29" t="s">
        <v>501</v>
      </c>
      <c r="E1245" s="19">
        <v>30</v>
      </c>
      <c r="F1245" s="20"/>
      <c r="G1245" s="29"/>
      <c r="H1245" s="33"/>
      <c r="I1245" s="29"/>
      <c r="J1245" s="29" t="s">
        <v>491</v>
      </c>
      <c r="AA1245" t="str">
        <f t="shared" si="19"/>
        <v>Various Commodities (4Ks)</v>
      </c>
    </row>
    <row r="1246" ht="30" customHeight="1" spans="1:27">
      <c r="A1246" s="29" t="s">
        <v>25</v>
      </c>
      <c r="B1246" s="29" t="s">
        <v>461</v>
      </c>
      <c r="C1246" s="13" t="s">
        <v>486</v>
      </c>
      <c r="D1246" s="29" t="s">
        <v>74</v>
      </c>
      <c r="E1246" s="19">
        <v>4710</v>
      </c>
      <c r="F1246" s="20"/>
      <c r="G1246" s="29"/>
      <c r="H1246" s="33"/>
      <c r="I1246" s="29"/>
      <c r="J1246" s="29" t="s">
        <v>75</v>
      </c>
      <c r="AA1246" t="str">
        <f t="shared" si="19"/>
        <v>Corn</v>
      </c>
    </row>
    <row r="1247" ht="30" customHeight="1" spans="1:27">
      <c r="A1247" s="29" t="s">
        <v>25</v>
      </c>
      <c r="B1247" s="29" t="s">
        <v>461</v>
      </c>
      <c r="C1247" s="13" t="s">
        <v>502</v>
      </c>
      <c r="D1247" s="30" t="s">
        <v>503</v>
      </c>
      <c r="E1247" s="19"/>
      <c r="F1247" s="20">
        <v>15000</v>
      </c>
      <c r="G1247" s="29"/>
      <c r="H1247" s="29"/>
      <c r="I1247" s="29"/>
      <c r="J1247" s="29" t="s">
        <v>29</v>
      </c>
      <c r="AA1247" t="str">
        <f t="shared" si="19"/>
        <v>Farm-to-Market Road</v>
      </c>
    </row>
    <row r="1248" ht="30" customHeight="1" spans="1:27">
      <c r="A1248" s="29" t="s">
        <v>25</v>
      </c>
      <c r="B1248" s="29" t="s">
        <v>461</v>
      </c>
      <c r="C1248" s="13" t="s">
        <v>502</v>
      </c>
      <c r="D1248" s="30" t="s">
        <v>504</v>
      </c>
      <c r="E1248" s="19"/>
      <c r="F1248" s="20">
        <v>18750</v>
      </c>
      <c r="G1248" s="29"/>
      <c r="H1248" s="29"/>
      <c r="I1248" s="29"/>
      <c r="J1248" s="29" t="s">
        <v>29</v>
      </c>
      <c r="AA1248" t="str">
        <f t="shared" si="19"/>
        <v>Farm-to-Market Road</v>
      </c>
    </row>
    <row r="1249" ht="30" customHeight="1" spans="1:27">
      <c r="A1249" s="29" t="s">
        <v>25</v>
      </c>
      <c r="B1249" s="29" t="s">
        <v>461</v>
      </c>
      <c r="C1249" s="13" t="s">
        <v>502</v>
      </c>
      <c r="D1249" s="30" t="s">
        <v>505</v>
      </c>
      <c r="E1249" s="19"/>
      <c r="F1249" s="20">
        <v>15000</v>
      </c>
      <c r="G1249" s="29"/>
      <c r="H1249" s="29"/>
      <c r="I1249" s="29"/>
      <c r="J1249" s="29" t="s">
        <v>29</v>
      </c>
      <c r="AA1249" t="str">
        <f t="shared" si="19"/>
        <v>Farm-to-Market Road</v>
      </c>
    </row>
    <row r="1250" ht="30" customHeight="1" spans="1:27">
      <c r="A1250" s="29" t="s">
        <v>25</v>
      </c>
      <c r="B1250" s="29" t="s">
        <v>461</v>
      </c>
      <c r="C1250" s="13" t="s">
        <v>502</v>
      </c>
      <c r="D1250" s="30" t="s">
        <v>506</v>
      </c>
      <c r="E1250" s="19"/>
      <c r="F1250" s="20">
        <v>18750</v>
      </c>
      <c r="G1250" s="29"/>
      <c r="H1250" s="29"/>
      <c r="I1250" s="29"/>
      <c r="J1250" s="29" t="s">
        <v>29</v>
      </c>
      <c r="AA1250" t="str">
        <f t="shared" si="19"/>
        <v>Farm-to-Market Road</v>
      </c>
    </row>
    <row r="1251" ht="60" customHeight="1" spans="1:27">
      <c r="A1251" s="29" t="s">
        <v>25</v>
      </c>
      <c r="B1251" s="29" t="s">
        <v>461</v>
      </c>
      <c r="C1251" s="13" t="s">
        <v>502</v>
      </c>
      <c r="D1251" s="30" t="s">
        <v>507</v>
      </c>
      <c r="E1251" s="19"/>
      <c r="F1251" s="20">
        <v>17925</v>
      </c>
      <c r="G1251" s="29"/>
      <c r="H1251" s="29"/>
      <c r="I1251" s="29"/>
      <c r="J1251" s="29" t="s">
        <v>29</v>
      </c>
      <c r="AA1251" t="str">
        <f t="shared" si="19"/>
        <v>Farm-to-Market Road</v>
      </c>
    </row>
    <row r="1252" ht="75" customHeight="1" spans="1:27">
      <c r="A1252" s="29" t="s">
        <v>25</v>
      </c>
      <c r="B1252" s="29" t="s">
        <v>461</v>
      </c>
      <c r="C1252" s="13" t="s">
        <v>502</v>
      </c>
      <c r="D1252" s="30" t="s">
        <v>508</v>
      </c>
      <c r="E1252" s="19"/>
      <c r="F1252" s="20">
        <v>15500</v>
      </c>
      <c r="G1252" s="29"/>
      <c r="H1252" s="29"/>
      <c r="I1252" s="29"/>
      <c r="J1252" s="29" t="s">
        <v>29</v>
      </c>
      <c r="AA1252" t="str">
        <f t="shared" si="19"/>
        <v>Farm-to-Market Road</v>
      </c>
    </row>
    <row r="1253" ht="60" customHeight="1" spans="1:27">
      <c r="A1253" s="29" t="s">
        <v>25</v>
      </c>
      <c r="B1253" s="29" t="s">
        <v>461</v>
      </c>
      <c r="C1253" s="13" t="s">
        <v>502</v>
      </c>
      <c r="D1253" s="30" t="s">
        <v>509</v>
      </c>
      <c r="E1253" s="19">
        <v>31000</v>
      </c>
      <c r="F1253" s="20"/>
      <c r="G1253" s="29"/>
      <c r="H1253" s="29"/>
      <c r="I1253" s="29"/>
      <c r="J1253" s="29" t="s">
        <v>29</v>
      </c>
      <c r="AA1253" t="str">
        <f t="shared" si="19"/>
        <v>Farm-to-Market Road</v>
      </c>
    </row>
    <row r="1254" ht="45" customHeight="1" spans="1:27">
      <c r="A1254" s="29" t="s">
        <v>25</v>
      </c>
      <c r="B1254" s="29" t="s">
        <v>461</v>
      </c>
      <c r="C1254" s="13" t="s">
        <v>502</v>
      </c>
      <c r="D1254" s="30" t="s">
        <v>510</v>
      </c>
      <c r="E1254" s="19"/>
      <c r="F1254" s="20">
        <v>37500</v>
      </c>
      <c r="G1254" s="29"/>
      <c r="H1254" s="29"/>
      <c r="I1254" s="29"/>
      <c r="J1254" s="29" t="s">
        <v>29</v>
      </c>
      <c r="AA1254" t="str">
        <f t="shared" si="19"/>
        <v>Farm-to-Market Road</v>
      </c>
    </row>
    <row r="1255" ht="45" customHeight="1" spans="1:27">
      <c r="A1255" s="29" t="s">
        <v>25</v>
      </c>
      <c r="B1255" s="29" t="s">
        <v>461</v>
      </c>
      <c r="C1255" s="13" t="s">
        <v>502</v>
      </c>
      <c r="D1255" s="29" t="s">
        <v>144</v>
      </c>
      <c r="E1255" s="19">
        <v>75</v>
      </c>
      <c r="F1255" s="20"/>
      <c r="G1255" s="29"/>
      <c r="H1255" s="33"/>
      <c r="I1255" s="29"/>
      <c r="J1255" s="29" t="s">
        <v>33</v>
      </c>
      <c r="AA1255" t="str">
        <f t="shared" si="19"/>
        <v>Various Commodities (SAAD)</v>
      </c>
    </row>
    <row r="1256" ht="30" customHeight="1" spans="1:27">
      <c r="A1256" s="29" t="s">
        <v>25</v>
      </c>
      <c r="B1256" s="29" t="s">
        <v>461</v>
      </c>
      <c r="C1256" s="13" t="s">
        <v>502</v>
      </c>
      <c r="D1256" s="29" t="s">
        <v>240</v>
      </c>
      <c r="E1256" s="23">
        <v>6187.4197</v>
      </c>
      <c r="F1256" s="24">
        <v>503.0423</v>
      </c>
      <c r="G1256" s="29"/>
      <c r="H1256" s="33"/>
      <c r="I1256" s="33"/>
      <c r="J1256" s="29" t="s">
        <v>64</v>
      </c>
      <c r="AA1256" t="str">
        <f t="shared" si="19"/>
        <v>Rice</v>
      </c>
    </row>
    <row r="1257" ht="30" customHeight="1" spans="1:27">
      <c r="A1257" s="29" t="s">
        <v>25</v>
      </c>
      <c r="B1257" s="29" t="s">
        <v>461</v>
      </c>
      <c r="C1257" s="13" t="s">
        <v>502</v>
      </c>
      <c r="D1257" s="29" t="s">
        <v>60</v>
      </c>
      <c r="E1257" s="19">
        <v>700</v>
      </c>
      <c r="F1257" s="20"/>
      <c r="G1257" s="29"/>
      <c r="H1257" s="33"/>
      <c r="I1257" s="29"/>
      <c r="J1257" s="29" t="s">
        <v>33</v>
      </c>
      <c r="AA1257" t="str">
        <f t="shared" si="19"/>
        <v>Various Commodities (SAAD)</v>
      </c>
    </row>
    <row r="1258" ht="45" customHeight="1" spans="1:27">
      <c r="A1258" s="29" t="s">
        <v>25</v>
      </c>
      <c r="B1258" s="29" t="s">
        <v>461</v>
      </c>
      <c r="C1258" s="13" t="s">
        <v>502</v>
      </c>
      <c r="D1258" s="29" t="s">
        <v>32</v>
      </c>
      <c r="E1258" s="19">
        <v>2880</v>
      </c>
      <c r="F1258" s="20"/>
      <c r="G1258" s="29"/>
      <c r="H1258" s="33"/>
      <c r="I1258" s="29"/>
      <c r="J1258" s="29" t="s">
        <v>33</v>
      </c>
      <c r="AA1258" t="str">
        <f t="shared" si="19"/>
        <v>Various Commodities (SAAD)</v>
      </c>
    </row>
    <row r="1259" spans="1:27">
      <c r="A1259" s="29" t="s">
        <v>25</v>
      </c>
      <c r="B1259" s="29" t="s">
        <v>461</v>
      </c>
      <c r="C1259" s="13" t="s">
        <v>502</v>
      </c>
      <c r="D1259" s="29" t="s">
        <v>421</v>
      </c>
      <c r="E1259" s="19"/>
      <c r="F1259" s="20"/>
      <c r="G1259" s="29"/>
      <c r="H1259" s="33"/>
      <c r="I1259" s="33"/>
      <c r="J1259" s="29" t="s">
        <v>75</v>
      </c>
      <c r="AA1259" t="str">
        <f t="shared" si="19"/>
        <v>Corn</v>
      </c>
    </row>
    <row r="1260" ht="30" customHeight="1" spans="1:27">
      <c r="A1260" s="29" t="s">
        <v>25</v>
      </c>
      <c r="B1260" s="29" t="s">
        <v>461</v>
      </c>
      <c r="C1260" s="13" t="s">
        <v>502</v>
      </c>
      <c r="D1260" s="29" t="s">
        <v>70</v>
      </c>
      <c r="E1260" s="23">
        <v>27843.3888</v>
      </c>
      <c r="F1260" s="20"/>
      <c r="G1260" s="29"/>
      <c r="H1260" s="33"/>
      <c r="I1260" s="29"/>
      <c r="J1260" s="29" t="s">
        <v>64</v>
      </c>
      <c r="AA1260" t="str">
        <f t="shared" si="19"/>
        <v>Rice</v>
      </c>
    </row>
    <row r="1261" ht="30" spans="1:27">
      <c r="A1261" s="29" t="s">
        <v>25</v>
      </c>
      <c r="B1261" s="29" t="s">
        <v>461</v>
      </c>
      <c r="C1261" s="13" t="s">
        <v>502</v>
      </c>
      <c r="D1261" s="29" t="s">
        <v>71</v>
      </c>
      <c r="E1261" s="23">
        <v>3467.4703</v>
      </c>
      <c r="F1261" s="20"/>
      <c r="G1261" s="29"/>
      <c r="H1261" s="33"/>
      <c r="I1261" s="29"/>
      <c r="J1261" s="29" t="s">
        <v>64</v>
      </c>
      <c r="AA1261" t="str">
        <f t="shared" si="19"/>
        <v>Rice</v>
      </c>
    </row>
    <row r="1262" spans="1:27">
      <c r="A1262" s="29" t="s">
        <v>25</v>
      </c>
      <c r="B1262" s="29" t="s">
        <v>461</v>
      </c>
      <c r="C1262" s="13" t="s">
        <v>502</v>
      </c>
      <c r="D1262" s="29" t="s">
        <v>72</v>
      </c>
      <c r="E1262" s="19">
        <v>10.32</v>
      </c>
      <c r="F1262" s="20"/>
      <c r="G1262" s="29"/>
      <c r="H1262" s="33"/>
      <c r="I1262" s="29"/>
      <c r="J1262" s="29" t="s">
        <v>35</v>
      </c>
      <c r="AA1262" t="str">
        <f t="shared" si="19"/>
        <v>High Value Crops (Vegetables/Fruits/Rootcrops)</v>
      </c>
    </row>
    <row r="1263" spans="1:27">
      <c r="A1263" s="29" t="s">
        <v>25</v>
      </c>
      <c r="B1263" s="29" t="s">
        <v>461</v>
      </c>
      <c r="C1263" s="13" t="s">
        <v>502</v>
      </c>
      <c r="D1263" s="29" t="s">
        <v>36</v>
      </c>
      <c r="E1263" s="19">
        <v>25</v>
      </c>
      <c r="F1263" s="20"/>
      <c r="G1263" s="29"/>
      <c r="H1263" s="33"/>
      <c r="I1263" s="29"/>
      <c r="J1263" s="29" t="s">
        <v>35</v>
      </c>
      <c r="AA1263" t="str">
        <f t="shared" si="19"/>
        <v>High Value Crops (Vegetables/Fruits/Rootcrops)</v>
      </c>
    </row>
    <row r="1264" ht="30" customHeight="1" spans="1:27">
      <c r="A1264" s="29" t="s">
        <v>25</v>
      </c>
      <c r="B1264" s="29" t="s">
        <v>461</v>
      </c>
      <c r="C1264" s="13" t="s">
        <v>502</v>
      </c>
      <c r="D1264" s="29" t="s">
        <v>148</v>
      </c>
      <c r="E1264" s="19">
        <v>75</v>
      </c>
      <c r="F1264" s="20"/>
      <c r="G1264" s="29"/>
      <c r="H1264" s="33"/>
      <c r="I1264" s="29"/>
      <c r="J1264" s="29" t="s">
        <v>33</v>
      </c>
      <c r="AA1264" t="str">
        <f t="shared" si="19"/>
        <v>Various Commodities (SAAD)</v>
      </c>
    </row>
    <row r="1265" ht="30" customHeight="1" spans="1:27">
      <c r="A1265" s="29" t="s">
        <v>25</v>
      </c>
      <c r="B1265" s="29" t="s">
        <v>461</v>
      </c>
      <c r="C1265" s="13" t="s">
        <v>502</v>
      </c>
      <c r="D1265" s="29" t="s">
        <v>74</v>
      </c>
      <c r="E1265" s="19"/>
      <c r="F1265" s="20"/>
      <c r="G1265" s="29"/>
      <c r="H1265" s="33"/>
      <c r="I1265" s="29"/>
      <c r="J1265" s="29" t="s">
        <v>75</v>
      </c>
      <c r="AA1265" t="str">
        <f t="shared" si="19"/>
        <v>Corn</v>
      </c>
    </row>
    <row r="1267" customHeight="1" spans="1:27">
      <c r="A1267" s="25" t="s">
        <v>511</v>
      </c>
    </row>
  </sheetData>
  <sortState ref="A11:J1266">
    <sortCondition ref="B11:B1266"/>
    <sortCondition ref="C11:C1266"/>
    <sortCondition ref="D11:D1266"/>
  </sortState>
  <mergeCells count="2">
    <mergeCell ref="E7:F7"/>
    <mergeCell ref="H7:I7"/>
  </mergeCells>
  <pageMargins left="0.7" right="0.7" top="0.75" bottom="0.75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8"/>
  <sheetViews>
    <sheetView workbookViewId="0">
      <pane xSplit="4" ySplit="9" topLeftCell="E11" activePane="bottomRight" state="frozen"/>
      <selection/>
      <selection pane="topRight"/>
      <selection pane="bottomLeft"/>
      <selection pane="bottomRight" activeCell="A7" sqref="$A7:$XFD7"/>
    </sheetView>
  </sheetViews>
  <sheetFormatPr defaultColWidth="12.6333333333333" defaultRowHeight="15" customHeight="1"/>
  <cols>
    <col min="1" max="1" width="13.75" customWidth="1"/>
    <col min="2" max="2" width="21.25" customWidth="1"/>
    <col min="3" max="3" width="18.1333333333333" customWidth="1"/>
    <col min="4" max="4" width="26.75" customWidth="1"/>
    <col min="5" max="6" width="19.25" customWidth="1"/>
    <col min="7" max="7" width="32" customWidth="1"/>
    <col min="8" max="9" width="18.25" customWidth="1"/>
    <col min="10" max="10" width="25.3833333333333" customWidth="1"/>
    <col min="11" max="26" width="8.63333333333333" customWidth="1"/>
  </cols>
  <sheetData>
    <row r="1" ht="13.5" customHeight="1" spans="1:10">
      <c r="A1" s="1" t="s">
        <v>0</v>
      </c>
      <c r="D1" s="2"/>
      <c r="E1" s="2"/>
      <c r="F1" s="2"/>
      <c r="G1" s="2"/>
    </row>
    <row r="2" ht="13.5" customHeight="1" spans="1:10">
      <c r="A2" s="1" t="s">
        <v>1</v>
      </c>
    </row>
    <row r="3" ht="13.5" customHeight="1" spans="1:10">
      <c r="A3" s="3" t="s">
        <v>2</v>
      </c>
    </row>
    <row r="4" ht="13.5" customHeight="1" spans="1:10">
      <c r="A4" s="4"/>
    </row>
    <row r="5" ht="13.5" customHeight="1" spans="1:10">
      <c r="A5" s="4" t="s">
        <v>512</v>
      </c>
    </row>
    <row r="6" ht="7" customHeight="1" spans="1:10">
      <c r="A6" s="4"/>
    </row>
    <row r="7" ht="13.5" customHeight="1" spans="1:10">
      <c r="A7" s="5" t="s">
        <v>4</v>
      </c>
      <c r="B7" s="5" t="s">
        <v>5</v>
      </c>
      <c r="C7" s="5" t="s">
        <v>6</v>
      </c>
      <c r="D7" s="5" t="s">
        <v>513</v>
      </c>
      <c r="E7" s="5" t="s">
        <v>514</v>
      </c>
      <c r="F7" s="6"/>
      <c r="G7" s="7" t="s">
        <v>515</v>
      </c>
      <c r="H7" s="8" t="s">
        <v>516</v>
      </c>
      <c r="I7" s="6"/>
      <c r="J7" s="9" t="s">
        <v>11</v>
      </c>
    </row>
    <row r="8" ht="13.5" customHeight="1" spans="1:10">
      <c r="A8" s="5"/>
      <c r="B8" s="5"/>
      <c r="C8" s="5"/>
      <c r="D8" s="5"/>
      <c r="E8" s="10" t="s">
        <v>12</v>
      </c>
      <c r="F8" s="10" t="s">
        <v>13</v>
      </c>
      <c r="G8" s="11"/>
      <c r="H8" s="11" t="s">
        <v>12</v>
      </c>
      <c r="I8" s="11" t="s">
        <v>13</v>
      </c>
      <c r="J8" s="10"/>
    </row>
    <row r="9" ht="13.5" customHeight="1" spans="1:10">
      <c r="A9" s="34" t="s">
        <v>14</v>
      </c>
      <c r="B9" s="34" t="s">
        <v>15</v>
      </c>
      <c r="C9" s="34" t="s">
        <v>16</v>
      </c>
      <c r="D9" s="34" t="s">
        <v>17</v>
      </c>
      <c r="E9" s="34" t="s">
        <v>18</v>
      </c>
      <c r="F9" s="34" t="s">
        <v>19</v>
      </c>
      <c r="G9" s="35" t="s">
        <v>20</v>
      </c>
      <c r="H9" s="35" t="s">
        <v>21</v>
      </c>
      <c r="I9" s="35" t="s">
        <v>22</v>
      </c>
      <c r="J9" s="34" t="s">
        <v>23</v>
      </c>
    </row>
    <row r="10" ht="13.5" customHeight="1" spans="1:10">
      <c r="A10" s="12" t="s">
        <v>25</v>
      </c>
      <c r="B10" s="12" t="s">
        <v>26</v>
      </c>
      <c r="C10" s="13" t="s">
        <v>517</v>
      </c>
      <c r="D10" s="12" t="s">
        <v>518</v>
      </c>
      <c r="E10" s="14">
        <f>SUMIFS('BY INTERVENTION'!$E:$E,'BY INTERVENTION'!$B:$B,B10,'BY INTERVENTION'!$C:$C,C10,'BY INTERVENTION'!$AA:$AA,D10)</f>
        <v>0</v>
      </c>
      <c r="F10" s="14">
        <f>SUMIFS('BY INTERVENTION'!$F:$F,'BY INTERVENTION'!$B:$B,B10,'BY INTERVENTION'!$C:$C,C10,'BY INTERVENTION'!$AA:$AA,D10)</f>
        <v>0</v>
      </c>
      <c r="G10" s="15"/>
      <c r="H10" s="15"/>
      <c r="I10" s="15"/>
      <c r="J10" s="16" t="s">
        <v>39</v>
      </c>
    </row>
    <row r="11" ht="13.5" customHeight="1" spans="1:10">
      <c r="A11" s="12" t="s">
        <v>25</v>
      </c>
      <c r="B11" s="12" t="s">
        <v>26</v>
      </c>
      <c r="C11" s="13" t="s">
        <v>27</v>
      </c>
      <c r="D11" s="12" t="s">
        <v>519</v>
      </c>
      <c r="E11" s="17">
        <f>SUMIFS('BY INTERVENTION'!$E:$E,'BY INTERVENTION'!$B:$B,B11,'BY INTERVENTION'!$C:$C,C11,'BY INTERVENTION'!$AA:$AA,D11)</f>
        <v>32500</v>
      </c>
      <c r="F11" s="18">
        <f>SUMIFS('BY INTERVENTION'!$F:$F,'BY INTERVENTION'!$B:$B,B11,'BY INTERVENTION'!$C:$C,C11,'BY INTERVENTION'!$AA:$AA,D11)</f>
        <v>41000</v>
      </c>
      <c r="G11" s="15"/>
      <c r="H11" s="15"/>
      <c r="I11" s="15"/>
      <c r="J11" s="16" t="s">
        <v>29</v>
      </c>
    </row>
    <row r="12" ht="13.5" customHeight="1" spans="1:10">
      <c r="A12" s="12" t="s">
        <v>25</v>
      </c>
      <c r="B12" s="12" t="s">
        <v>26</v>
      </c>
      <c r="C12" s="13" t="s">
        <v>27</v>
      </c>
      <c r="D12" s="12" t="s">
        <v>520</v>
      </c>
      <c r="E12" s="19">
        <f>SUMIFS('BY INTERVENTION'!$E:$E,'BY INTERVENTION'!$B:$B,B12,'BY INTERVENTION'!$C:$C,C12,'BY INTERVENTION'!$AA:$AA,D12)</f>
        <v>7120</v>
      </c>
      <c r="F12" s="20">
        <f>SUMIFS('BY INTERVENTION'!$F:$F,'BY INTERVENTION'!$B:$B,B12,'BY INTERVENTION'!$C:$C,C12,'BY INTERVENTION'!$AA:$AA,D12)</f>
        <v>0</v>
      </c>
      <c r="G12" s="15"/>
      <c r="H12" s="15"/>
      <c r="I12" s="15"/>
      <c r="J12" s="16" t="s">
        <v>35</v>
      </c>
    </row>
    <row r="13" ht="13.5" customHeight="1" spans="1:10">
      <c r="A13" s="12" t="s">
        <v>25</v>
      </c>
      <c r="B13" s="12" t="s">
        <v>26</v>
      </c>
      <c r="C13" s="13" t="s">
        <v>27</v>
      </c>
      <c r="D13" s="12" t="s">
        <v>521</v>
      </c>
      <c r="E13" s="19">
        <f>SUMIFS('BY INTERVENTION'!$E:$E,'BY INTERVENTION'!$B:$B,B13,'BY INTERVENTION'!$C:$C,C13,'BY INTERVENTION'!$AA:$AA,D13)</f>
        <v>1555</v>
      </c>
      <c r="F13" s="20">
        <f>SUMIFS('BY INTERVENTION'!$F:$F,'BY INTERVENTION'!$B:$B,B13,'BY INTERVENTION'!$C:$C,C13,'BY INTERVENTION'!$AA:$AA,D13)</f>
        <v>0</v>
      </c>
      <c r="G13" s="15"/>
      <c r="H13" s="15"/>
      <c r="I13" s="15"/>
      <c r="J13" s="16" t="s">
        <v>33</v>
      </c>
    </row>
    <row r="14" ht="13.5" customHeight="1" spans="1:10">
      <c r="A14" s="12" t="s">
        <v>25</v>
      </c>
      <c r="B14" s="12" t="s">
        <v>26</v>
      </c>
      <c r="C14" s="13" t="s">
        <v>37</v>
      </c>
      <c r="D14" s="12" t="s">
        <v>519</v>
      </c>
      <c r="E14" s="19">
        <f>SUMIFS('BY INTERVENTION'!$E:$E,'BY INTERVENTION'!$B:$B,B14,'BY INTERVENTION'!$C:$C,C14,'BY INTERVENTION'!$AA:$AA,D14)</f>
        <v>35000</v>
      </c>
      <c r="F14" s="20">
        <f>SUMIFS('BY INTERVENTION'!$F:$F,'BY INTERVENTION'!$B:$B,B14,'BY INTERVENTION'!$C:$C,C14,'BY INTERVENTION'!$AA:$AA,D14)</f>
        <v>49100</v>
      </c>
      <c r="G14" s="15"/>
      <c r="H14" s="15"/>
      <c r="I14" s="15"/>
      <c r="J14" s="16" t="s">
        <v>29</v>
      </c>
    </row>
    <row r="15" ht="13.5" customHeight="1" spans="1:10">
      <c r="A15" s="12" t="s">
        <v>25</v>
      </c>
      <c r="B15" s="12" t="s">
        <v>26</v>
      </c>
      <c r="C15" s="13" t="s">
        <v>37</v>
      </c>
      <c r="D15" s="12" t="s">
        <v>520</v>
      </c>
      <c r="E15" s="19">
        <f>SUMIFS('BY INTERVENTION'!$E:$E,'BY INTERVENTION'!$B:$B,B15,'BY INTERVENTION'!$C:$C,C15,'BY INTERVENTION'!$AA:$AA,D15)</f>
        <v>7120</v>
      </c>
      <c r="F15" s="20">
        <f>SUMIFS('BY INTERVENTION'!$F:$F,'BY INTERVENTION'!$B:$B,B15,'BY INTERVENTION'!$C:$C,C15,'BY INTERVENTION'!$AA:$AA,D15)</f>
        <v>0</v>
      </c>
      <c r="G15" s="15"/>
      <c r="H15" s="15"/>
      <c r="I15" s="15"/>
      <c r="J15" s="16" t="s">
        <v>35</v>
      </c>
    </row>
    <row r="16" ht="13.5" customHeight="1" spans="1:10">
      <c r="A16" s="12" t="s">
        <v>25</v>
      </c>
      <c r="B16" s="12" t="s">
        <v>26</v>
      </c>
      <c r="C16" s="13" t="s">
        <v>37</v>
      </c>
      <c r="D16" s="12" t="s">
        <v>522</v>
      </c>
      <c r="E16" s="19">
        <f>SUMIFS('BY INTERVENTION'!$E:$E,'BY INTERVENTION'!$B:$B,B16,'BY INTERVENTION'!$C:$C,C16,'BY INTERVENTION'!$AA:$AA,D16)</f>
        <v>0</v>
      </c>
      <c r="F16" s="20">
        <f>SUMIFS('BY INTERVENTION'!$F:$F,'BY INTERVENTION'!$B:$B,B16,'BY INTERVENTION'!$C:$C,C16,'BY INTERVENTION'!$AA:$AA,D16)</f>
        <v>0</v>
      </c>
      <c r="G16" s="15"/>
      <c r="H16" s="15"/>
      <c r="I16" s="15"/>
      <c r="J16" s="16" t="s">
        <v>39</v>
      </c>
    </row>
    <row r="17" ht="13.5" customHeight="1" spans="1:10">
      <c r="A17" s="12" t="s">
        <v>25</v>
      </c>
      <c r="B17" s="12" t="s">
        <v>26</v>
      </c>
      <c r="C17" s="13" t="s">
        <v>37</v>
      </c>
      <c r="D17" s="12" t="s">
        <v>521</v>
      </c>
      <c r="E17" s="19">
        <f>SUMIFS('BY INTERVENTION'!$E:$E,'BY INTERVENTION'!$B:$B,B17,'BY INTERVENTION'!$C:$C,C17,'BY INTERVENTION'!$AA:$AA,D17)</f>
        <v>1555</v>
      </c>
      <c r="F17" s="20">
        <f>SUMIFS('BY INTERVENTION'!$F:$F,'BY INTERVENTION'!$B:$B,B17,'BY INTERVENTION'!$C:$C,C17,'BY INTERVENTION'!$AA:$AA,D17)</f>
        <v>0</v>
      </c>
      <c r="G17" s="15"/>
      <c r="H17" s="15"/>
      <c r="I17" s="15"/>
      <c r="J17" s="16" t="s">
        <v>33</v>
      </c>
    </row>
    <row r="18" ht="13.5" customHeight="1" spans="1:10">
      <c r="A18" s="12" t="s">
        <v>25</v>
      </c>
      <c r="B18" s="12" t="s">
        <v>26</v>
      </c>
      <c r="C18" s="13" t="s">
        <v>37</v>
      </c>
      <c r="D18" s="12" t="s">
        <v>523</v>
      </c>
      <c r="E18" s="19">
        <f>SUMIFS('BY INTERVENTION'!$E:$E,'BY INTERVENTION'!$B:$B,B18,'BY INTERVENTION'!$C:$C,C18,'BY INTERVENTION'!$AA:$AA,D18)</f>
        <v>0</v>
      </c>
      <c r="F18" s="20">
        <f>SUMIFS('BY INTERVENTION'!$F:$F,'BY INTERVENTION'!$B:$B,B18,'BY INTERVENTION'!$C:$C,C18,'BY INTERVENTION'!$AA:$AA,D18)</f>
        <v>0</v>
      </c>
      <c r="G18" s="15"/>
      <c r="H18" s="15"/>
      <c r="I18" s="15"/>
      <c r="J18" s="16" t="s">
        <v>39</v>
      </c>
    </row>
    <row r="19" ht="13.5" customHeight="1" spans="1:10">
      <c r="A19" s="12" t="s">
        <v>25</v>
      </c>
      <c r="B19" s="12" t="s">
        <v>26</v>
      </c>
      <c r="C19" s="13" t="s">
        <v>44</v>
      </c>
      <c r="D19" s="12" t="s">
        <v>524</v>
      </c>
      <c r="E19" s="19">
        <f>SUMIFS('BY INTERVENTION'!$E:$E,'BY INTERVENTION'!$B:$B,B19,'BY INTERVENTION'!$C:$C,C19,'BY INTERVENTION'!$AA:$AA,D19)</f>
        <v>0</v>
      </c>
      <c r="F19" s="20">
        <f>SUMIFS('BY INTERVENTION'!$F:$F,'BY INTERVENTION'!$B:$B,B19,'BY INTERVENTION'!$C:$C,C19,'BY INTERVENTION'!$AA:$AA,D19)</f>
        <v>0</v>
      </c>
      <c r="G19" s="15"/>
      <c r="H19" s="15"/>
      <c r="I19" s="15"/>
      <c r="J19" s="16" t="s">
        <v>39</v>
      </c>
    </row>
    <row r="20" ht="13.5" customHeight="1" spans="1:10">
      <c r="A20" s="12" t="s">
        <v>25</v>
      </c>
      <c r="B20" s="12" t="s">
        <v>26</v>
      </c>
      <c r="C20" s="13" t="s">
        <v>44</v>
      </c>
      <c r="D20" s="12" t="s">
        <v>525</v>
      </c>
      <c r="E20" s="19">
        <f>SUMIFS('BY INTERVENTION'!$E:$E,'BY INTERVENTION'!$B:$B,B20,'BY INTERVENTION'!$C:$C,C20,'BY INTERVENTION'!$AA:$AA,D20)</f>
        <v>0</v>
      </c>
      <c r="F20" s="20">
        <f>SUMIFS('BY INTERVENTION'!$F:$F,'BY INTERVENTION'!$B:$B,B20,'BY INTERVENTION'!$C:$C,C20,'BY INTERVENTION'!$AA:$AA,D20)</f>
        <v>0</v>
      </c>
      <c r="G20" s="15"/>
      <c r="H20" s="15"/>
      <c r="I20" s="15"/>
      <c r="J20" s="16" t="s">
        <v>39</v>
      </c>
    </row>
    <row r="21" ht="13.5" customHeight="1" spans="1:10">
      <c r="A21" s="12" t="s">
        <v>25</v>
      </c>
      <c r="B21" s="12" t="s">
        <v>26</v>
      </c>
      <c r="C21" s="13" t="s">
        <v>44</v>
      </c>
      <c r="D21" s="12" t="s">
        <v>519</v>
      </c>
      <c r="E21" s="19">
        <f>SUMIFS('BY INTERVENTION'!$E:$E,'BY INTERVENTION'!$B:$B,B21,'BY INTERVENTION'!$C:$C,C21,'BY INTERVENTION'!$AA:$AA,D21)</f>
        <v>12500</v>
      </c>
      <c r="F21" s="20">
        <f>SUMIFS('BY INTERVENTION'!$F:$F,'BY INTERVENTION'!$B:$B,B21,'BY INTERVENTION'!$C:$C,C21,'BY INTERVENTION'!$AA:$AA,D21)</f>
        <v>87120</v>
      </c>
      <c r="G21" s="15"/>
      <c r="H21" s="15"/>
      <c r="I21" s="15"/>
      <c r="J21" s="16" t="s">
        <v>29</v>
      </c>
    </row>
    <row r="22" spans="1:10">
      <c r="A22" s="12" t="s">
        <v>25</v>
      </c>
      <c r="B22" s="12" t="s">
        <v>26</v>
      </c>
      <c r="C22" s="13" t="s">
        <v>44</v>
      </c>
      <c r="D22" s="12" t="s">
        <v>526</v>
      </c>
      <c r="E22" s="19">
        <f>SUMIFS('BY INTERVENTION'!$E:$E,'BY INTERVENTION'!$B:$B,B22,'BY INTERVENTION'!$C:$C,C22,'BY INTERVENTION'!$AA:$AA,D22)</f>
        <v>0</v>
      </c>
      <c r="F22" s="20">
        <f>SUMIFS('BY INTERVENTION'!$F:$F,'BY INTERVENTION'!$B:$B,B22,'BY INTERVENTION'!$C:$C,C22,'BY INTERVENTION'!$AA:$AA,D22)</f>
        <v>0</v>
      </c>
      <c r="G22" s="15"/>
      <c r="H22" s="15"/>
      <c r="I22" s="15"/>
      <c r="J22" s="16" t="s">
        <v>39</v>
      </c>
    </row>
    <row r="23" spans="1:10">
      <c r="A23" s="12" t="s">
        <v>25</v>
      </c>
      <c r="B23" s="12" t="s">
        <v>26</v>
      </c>
      <c r="C23" s="13" t="s">
        <v>44</v>
      </c>
      <c r="D23" s="12" t="s">
        <v>521</v>
      </c>
      <c r="E23" s="19">
        <f>SUMIFS('BY INTERVENTION'!$E:$E,'BY INTERVENTION'!$B:$B,B23,'BY INTERVENTION'!$C:$C,C23,'BY INTERVENTION'!$AA:$AA,D23)</f>
        <v>1555</v>
      </c>
      <c r="F23" s="20">
        <f>SUMIFS('BY INTERVENTION'!$F:$F,'BY INTERVENTION'!$B:$B,B23,'BY INTERVENTION'!$C:$C,C23,'BY INTERVENTION'!$AA:$AA,D23)</f>
        <v>0</v>
      </c>
      <c r="G23" s="15"/>
      <c r="H23" s="15"/>
      <c r="I23" s="15"/>
      <c r="J23" s="16" t="s">
        <v>33</v>
      </c>
    </row>
    <row r="24" spans="1:10">
      <c r="A24" s="12" t="s">
        <v>25</v>
      </c>
      <c r="B24" s="12" t="s">
        <v>26</v>
      </c>
      <c r="C24" s="13" t="s">
        <v>50</v>
      </c>
      <c r="D24" s="12" t="s">
        <v>527</v>
      </c>
      <c r="E24" s="21">
        <f>SUMIFS('BY INTERVENTION'!$E:$E,'BY INTERVENTION'!$B:$B,B24,'BY INTERVENTION'!$C:$C,C24,'BY INTERVENTION'!$AA:$AA,D24)</f>
        <v>0</v>
      </c>
      <c r="F24" s="22">
        <f>SUMIFS('BY INTERVENTION'!$F:$F,'BY INTERVENTION'!$B:$B,B24,'BY INTERVENTION'!$C:$C,C24,'BY INTERVENTION'!$AA:$AA,D24)</f>
        <v>0</v>
      </c>
      <c r="G24" s="15"/>
      <c r="H24" s="15"/>
      <c r="I24" s="15"/>
      <c r="J24" s="16" t="s">
        <v>39</v>
      </c>
    </row>
    <row r="25" spans="1:10">
      <c r="A25" s="12" t="s">
        <v>25</v>
      </c>
      <c r="B25" s="12" t="s">
        <v>26</v>
      </c>
      <c r="C25" s="13" t="s">
        <v>50</v>
      </c>
      <c r="D25" s="12" t="s">
        <v>519</v>
      </c>
      <c r="E25" s="19">
        <f>SUMIFS('BY INTERVENTION'!$E:$E,'BY INTERVENTION'!$B:$B,B25,'BY INTERVENTION'!$C:$C,C25,'BY INTERVENTION'!$AA:$AA,D25)</f>
        <v>12500</v>
      </c>
      <c r="F25" s="20">
        <f>SUMIFS('BY INTERVENTION'!$F:$F,'BY INTERVENTION'!$B:$B,B25,'BY INTERVENTION'!$C:$C,C25,'BY INTERVENTION'!$AA:$AA,D25)</f>
        <v>0</v>
      </c>
      <c r="G25" s="15"/>
      <c r="H25" s="15"/>
      <c r="I25" s="15"/>
      <c r="J25" s="16" t="s">
        <v>29</v>
      </c>
    </row>
    <row r="26" spans="1:10">
      <c r="A26" s="12" t="s">
        <v>25</v>
      </c>
      <c r="B26" s="12" t="s">
        <v>26</v>
      </c>
      <c r="C26" s="13" t="s">
        <v>53</v>
      </c>
      <c r="D26" s="12" t="s">
        <v>527</v>
      </c>
      <c r="E26" s="19">
        <f>SUMIFS('BY INTERVENTION'!$E:$E,'BY INTERVENTION'!$B:$B,B26,'BY INTERVENTION'!$C:$C,C26,'BY INTERVENTION'!$AA:$AA,D26)</f>
        <v>0</v>
      </c>
      <c r="F26" s="20">
        <f>SUMIFS('BY INTERVENTION'!$F:$F,'BY INTERVENTION'!$B:$B,B26,'BY INTERVENTION'!$C:$C,C26,'BY INTERVENTION'!$AA:$AA,D26)</f>
        <v>0</v>
      </c>
      <c r="G26" s="15"/>
      <c r="H26" s="15"/>
      <c r="I26" s="15"/>
      <c r="J26" s="16" t="s">
        <v>39</v>
      </c>
    </row>
    <row r="27" spans="1:10">
      <c r="A27" s="12" t="s">
        <v>25</v>
      </c>
      <c r="B27" s="12" t="s">
        <v>26</v>
      </c>
      <c r="C27" s="13" t="s">
        <v>53</v>
      </c>
      <c r="D27" s="12" t="s">
        <v>519</v>
      </c>
      <c r="E27" s="19">
        <f>SUMIFS('BY INTERVENTION'!$E:$E,'BY INTERVENTION'!$B:$B,B27,'BY INTERVENTION'!$C:$C,C27,'BY INTERVENTION'!$AA:$AA,D27)</f>
        <v>25000</v>
      </c>
      <c r="F27" s="20">
        <f>SUMIFS('BY INTERVENTION'!$F:$F,'BY INTERVENTION'!$B:$B,B27,'BY INTERVENTION'!$C:$C,C27,'BY INTERVENTION'!$AA:$AA,D27)</f>
        <v>29500</v>
      </c>
      <c r="G27" s="15"/>
      <c r="H27" s="15"/>
      <c r="I27" s="15"/>
      <c r="J27" s="16" t="s">
        <v>29</v>
      </c>
    </row>
    <row r="28" spans="1:10">
      <c r="A28" s="12" t="s">
        <v>25</v>
      </c>
      <c r="B28" s="12" t="s">
        <v>26</v>
      </c>
      <c r="C28" s="13" t="s">
        <v>53</v>
      </c>
      <c r="D28" s="12" t="s">
        <v>526</v>
      </c>
      <c r="E28" s="19">
        <f>SUMIFS('BY INTERVENTION'!$E:$E,'BY INTERVENTION'!$B:$B,B28,'BY INTERVENTION'!$C:$C,C28,'BY INTERVENTION'!$AA:$AA,D28)</f>
        <v>0</v>
      </c>
      <c r="F28" s="20">
        <f>SUMIFS('BY INTERVENTION'!$F:$F,'BY INTERVENTION'!$B:$B,B28,'BY INTERVENTION'!$C:$C,C28,'BY INTERVENTION'!$AA:$AA,D28)</f>
        <v>0</v>
      </c>
      <c r="G28" s="15"/>
      <c r="H28" s="15"/>
      <c r="I28" s="15"/>
      <c r="J28" s="16" t="s">
        <v>39</v>
      </c>
    </row>
    <row r="29" ht="30" customHeight="1" spans="1:10">
      <c r="A29" s="12" t="s">
        <v>25</v>
      </c>
      <c r="B29" s="12" t="s">
        <v>26</v>
      </c>
      <c r="C29" s="13" t="s">
        <v>56</v>
      </c>
      <c r="D29" s="12" t="s">
        <v>519</v>
      </c>
      <c r="E29" s="19">
        <f>SUMIFS('BY INTERVENTION'!$E:$E,'BY INTERVENTION'!$B:$B,B29,'BY INTERVENTION'!$C:$C,C29,'BY INTERVENTION'!$AA:$AA,D29)</f>
        <v>0</v>
      </c>
      <c r="F29" s="20">
        <f>SUMIFS('BY INTERVENTION'!$F:$F,'BY INTERVENTION'!$B:$B,B29,'BY INTERVENTION'!$C:$C,C29,'BY INTERVENTION'!$AA:$AA,D29)</f>
        <v>95200</v>
      </c>
      <c r="G29" s="15"/>
      <c r="H29" s="15"/>
      <c r="I29" s="15"/>
      <c r="J29" s="16" t="s">
        <v>29</v>
      </c>
    </row>
    <row r="30" ht="30" spans="1:10">
      <c r="A30" s="12" t="s">
        <v>25</v>
      </c>
      <c r="B30" s="12" t="s">
        <v>26</v>
      </c>
      <c r="C30" s="13" t="s">
        <v>56</v>
      </c>
      <c r="D30" s="12" t="s">
        <v>520</v>
      </c>
      <c r="E30" s="19">
        <f>SUMIFS('BY INTERVENTION'!$E:$E,'BY INTERVENTION'!$B:$B,B30,'BY INTERVENTION'!$C:$C,C30,'BY INTERVENTION'!$AA:$AA,D30)</f>
        <v>7120</v>
      </c>
      <c r="F30" s="20">
        <f>SUMIFS('BY INTERVENTION'!$F:$F,'BY INTERVENTION'!$B:$B,B30,'BY INTERVENTION'!$C:$C,C30,'BY INTERVENTION'!$AA:$AA,D30)</f>
        <v>0</v>
      </c>
      <c r="G30" s="15"/>
      <c r="H30" s="15"/>
      <c r="I30" s="15"/>
      <c r="J30" s="16" t="s">
        <v>35</v>
      </c>
    </row>
    <row r="31" spans="1:10">
      <c r="A31" s="12" t="s">
        <v>25</v>
      </c>
      <c r="B31" s="12" t="s">
        <v>26</v>
      </c>
      <c r="C31" s="13" t="s">
        <v>56</v>
      </c>
      <c r="D31" s="12" t="s">
        <v>528</v>
      </c>
      <c r="E31" s="19">
        <f>SUMIFS('BY INTERVENTION'!$E:$E,'BY INTERVENTION'!$B:$B,B31,'BY INTERVENTION'!$C:$C,C31,'BY INTERVENTION'!$AA:$AA,D31)</f>
        <v>0</v>
      </c>
      <c r="F31" s="20">
        <f>SUMIFS('BY INTERVENTION'!$F:$F,'BY INTERVENTION'!$B:$B,B31,'BY INTERVENTION'!$C:$C,C31,'BY INTERVENTION'!$AA:$AA,D31)</f>
        <v>0</v>
      </c>
      <c r="G31" s="15"/>
      <c r="H31" s="15"/>
      <c r="I31" s="15"/>
      <c r="J31" s="16" t="s">
        <v>39</v>
      </c>
    </row>
    <row r="32" spans="1:10">
      <c r="A32" s="12" t="s">
        <v>25</v>
      </c>
      <c r="B32" s="12" t="s">
        <v>26</v>
      </c>
      <c r="C32" s="13" t="s">
        <v>56</v>
      </c>
      <c r="D32" s="12" t="s">
        <v>521</v>
      </c>
      <c r="E32" s="19">
        <f>SUMIFS('BY INTERVENTION'!$E:$E,'BY INTERVENTION'!$B:$B,B32,'BY INTERVENTION'!$C:$C,C32,'BY INTERVENTION'!$AA:$AA,D32)</f>
        <v>2255</v>
      </c>
      <c r="F32" s="20">
        <f>SUMIFS('BY INTERVENTION'!$F:$F,'BY INTERVENTION'!$B:$B,B32,'BY INTERVENTION'!$C:$C,C32,'BY INTERVENTION'!$AA:$AA,D32)</f>
        <v>0</v>
      </c>
      <c r="G32" s="15"/>
      <c r="H32" s="15"/>
      <c r="I32" s="15"/>
      <c r="J32" s="16" t="s">
        <v>33</v>
      </c>
    </row>
    <row r="33" spans="1:10">
      <c r="A33" s="12" t="s">
        <v>25</v>
      </c>
      <c r="B33" s="12" t="s">
        <v>26</v>
      </c>
      <c r="C33" s="13" t="s">
        <v>56</v>
      </c>
      <c r="D33" s="12" t="s">
        <v>529</v>
      </c>
      <c r="E33" s="19">
        <f>SUMIFS('BY INTERVENTION'!$E:$E,'BY INTERVENTION'!$B:$B,B33,'BY INTERVENTION'!$C:$C,C33,'BY INTERVENTION'!$AA:$AA,D33)</f>
        <v>0</v>
      </c>
      <c r="F33" s="20">
        <f>SUMIFS('BY INTERVENTION'!$F:$F,'BY INTERVENTION'!$B:$B,B33,'BY INTERVENTION'!$C:$C,C33,'BY INTERVENTION'!$AA:$AA,D33)</f>
        <v>0</v>
      </c>
      <c r="G33" s="15"/>
      <c r="H33" s="15"/>
      <c r="I33" s="15"/>
      <c r="J33" s="16" t="s">
        <v>39</v>
      </c>
    </row>
    <row r="34" spans="1:10">
      <c r="A34" s="12" t="s">
        <v>25</v>
      </c>
      <c r="B34" s="12" t="s">
        <v>26</v>
      </c>
      <c r="C34" s="13" t="s">
        <v>56</v>
      </c>
      <c r="D34" s="12" t="s">
        <v>523</v>
      </c>
      <c r="E34" s="19">
        <f>SUMIFS('BY INTERVENTION'!$E:$E,'BY INTERVENTION'!$B:$B,B34,'BY INTERVENTION'!$C:$C,C34,'BY INTERVENTION'!$AA:$AA,D34)</f>
        <v>0</v>
      </c>
      <c r="F34" s="20">
        <f>SUMIFS('BY INTERVENTION'!$F:$F,'BY INTERVENTION'!$B:$B,B34,'BY INTERVENTION'!$C:$C,C34,'BY INTERVENTION'!$AA:$AA,D34)</f>
        <v>0</v>
      </c>
      <c r="G34" s="15"/>
      <c r="H34" s="15"/>
      <c r="I34" s="15"/>
      <c r="J34" s="16" t="s">
        <v>39</v>
      </c>
    </row>
    <row r="35" spans="1:10">
      <c r="A35" s="12" t="s">
        <v>25</v>
      </c>
      <c r="B35" s="12" t="s">
        <v>61</v>
      </c>
      <c r="C35" s="13" t="s">
        <v>62</v>
      </c>
      <c r="D35" s="12" t="s">
        <v>530</v>
      </c>
      <c r="E35" s="19">
        <f>SUMIFS('BY INTERVENTION'!$E:$E,'BY INTERVENTION'!$B:$B,B35,'BY INTERVENTION'!$C:$C,C35,'BY INTERVENTION'!$AA:$AA,D35)</f>
        <v>3420</v>
      </c>
      <c r="F35" s="20">
        <f>SUMIFS('BY INTERVENTION'!$F:$F,'BY INTERVENTION'!$B:$B,B35,'BY INTERVENTION'!$C:$C,C35,'BY INTERVENTION'!$AA:$AA,D35)</f>
        <v>0</v>
      </c>
      <c r="G35" s="15"/>
      <c r="H35" s="15"/>
      <c r="I35" s="15"/>
      <c r="J35" s="16" t="s">
        <v>75</v>
      </c>
    </row>
    <row r="36" ht="30" customHeight="1" spans="1:10">
      <c r="A36" s="12" t="s">
        <v>25</v>
      </c>
      <c r="B36" s="12" t="s">
        <v>61</v>
      </c>
      <c r="C36" s="13" t="s">
        <v>62</v>
      </c>
      <c r="D36" s="12" t="s">
        <v>520</v>
      </c>
      <c r="E36" s="19">
        <f>SUMIFS('BY INTERVENTION'!$E:$E,'BY INTERVENTION'!$B:$B,B36,'BY INTERVENTION'!$C:$C,C36,'BY INTERVENTION'!$AA:$AA,D36)</f>
        <v>1765.82</v>
      </c>
      <c r="F36" s="20">
        <f>SUMIFS('BY INTERVENTION'!$F:$F,'BY INTERVENTION'!$B:$B,B36,'BY INTERVENTION'!$C:$C,C36,'BY INTERVENTION'!$AA:$AA,D36)</f>
        <v>0</v>
      </c>
      <c r="G36" s="15"/>
      <c r="H36" s="15"/>
      <c r="I36" s="15"/>
      <c r="J36" s="16" t="s">
        <v>35</v>
      </c>
    </row>
    <row r="37" spans="1:10">
      <c r="A37" s="12" t="s">
        <v>25</v>
      </c>
      <c r="B37" s="12" t="s">
        <v>61</v>
      </c>
      <c r="C37" s="13" t="s">
        <v>62</v>
      </c>
      <c r="D37" s="12" t="s">
        <v>522</v>
      </c>
      <c r="E37" s="23">
        <f>SUMIFS('BY INTERVENTION'!$E:$E,'BY INTERVENTION'!$B:$B,B37,'BY INTERVENTION'!$C:$C,C37,'BY INTERVENTION'!$AA:$AA,D37)</f>
        <v>116045.16</v>
      </c>
      <c r="F37" s="24">
        <f>SUMIFS('BY INTERVENTION'!$F:$F,'BY INTERVENTION'!$B:$B,B37,'BY INTERVENTION'!$C:$C,C37,'BY INTERVENTION'!$AA:$AA,D37)</f>
        <v>5728.5345</v>
      </c>
      <c r="G37" s="15"/>
      <c r="H37" s="15"/>
      <c r="I37" s="15"/>
      <c r="J37" s="16" t="s">
        <v>64</v>
      </c>
    </row>
    <row r="38" spans="1:10">
      <c r="A38" s="12" t="s">
        <v>25</v>
      </c>
      <c r="B38" s="12" t="s">
        <v>61</v>
      </c>
      <c r="C38" s="13" t="s">
        <v>76</v>
      </c>
      <c r="D38" s="12" t="s">
        <v>530</v>
      </c>
      <c r="E38" s="19">
        <f>SUMIFS('BY INTERVENTION'!$E:$E,'BY INTERVENTION'!$B:$B,B38,'BY INTERVENTION'!$C:$C,C38,'BY INTERVENTION'!$AA:$AA,D38)</f>
        <v>22655</v>
      </c>
      <c r="F38" s="20">
        <f>SUMIFS('BY INTERVENTION'!$F:$F,'BY INTERVENTION'!$B:$B,B38,'BY INTERVENTION'!$C:$C,C38,'BY INTERVENTION'!$AA:$AA,D38)</f>
        <v>93275</v>
      </c>
      <c r="G38" s="15"/>
      <c r="H38" s="15"/>
      <c r="I38" s="15"/>
      <c r="J38" s="16" t="s">
        <v>75</v>
      </c>
    </row>
    <row r="39" spans="1:10">
      <c r="A39" s="12" t="s">
        <v>25</v>
      </c>
      <c r="B39" s="12" t="s">
        <v>61</v>
      </c>
      <c r="C39" s="13" t="s">
        <v>76</v>
      </c>
      <c r="D39" s="12" t="s">
        <v>519</v>
      </c>
      <c r="E39" s="19">
        <f>SUMIFS('BY INTERVENTION'!$E:$E,'BY INTERVENTION'!$B:$B,B39,'BY INTERVENTION'!$C:$C,C39,'BY INTERVENTION'!$AA:$AA,D39)</f>
        <v>0</v>
      </c>
      <c r="F39" s="20">
        <f>SUMIFS('BY INTERVENTION'!$F:$F,'BY INTERVENTION'!$B:$B,B39,'BY INTERVENTION'!$C:$C,C39,'BY INTERVENTION'!$AA:$AA,D39)</f>
        <v>189450</v>
      </c>
      <c r="G39" s="15"/>
      <c r="H39" s="15"/>
      <c r="I39" s="15"/>
      <c r="J39" s="16" t="s">
        <v>29</v>
      </c>
    </row>
    <row r="40" ht="30" customHeight="1" spans="1:10">
      <c r="A40" s="12" t="s">
        <v>25</v>
      </c>
      <c r="B40" s="12" t="s">
        <v>61</v>
      </c>
      <c r="C40" s="13" t="s">
        <v>76</v>
      </c>
      <c r="D40" s="12" t="s">
        <v>520</v>
      </c>
      <c r="E40" s="19">
        <f>SUMIFS('BY INTERVENTION'!$E:$E,'BY INTERVENTION'!$B:$B,B40,'BY INTERVENTION'!$C:$C,C40,'BY INTERVENTION'!$AA:$AA,D40)</f>
        <v>1158.75</v>
      </c>
      <c r="F40" s="20">
        <f>SUMIFS('BY INTERVENTION'!$F:$F,'BY INTERVENTION'!$B:$B,B40,'BY INTERVENTION'!$C:$C,C40,'BY INTERVENTION'!$AA:$AA,D40)</f>
        <v>0</v>
      </c>
      <c r="G40" s="15"/>
      <c r="H40" s="15"/>
      <c r="I40" s="15"/>
      <c r="J40" s="16" t="s">
        <v>35</v>
      </c>
    </row>
    <row r="41" ht="45" customHeight="1" spans="1:10">
      <c r="A41" s="12" t="s">
        <v>25</v>
      </c>
      <c r="B41" s="12" t="s">
        <v>61</v>
      </c>
      <c r="C41" s="13" t="s">
        <v>76</v>
      </c>
      <c r="D41" s="12" t="s">
        <v>531</v>
      </c>
      <c r="E41" s="19">
        <f>SUMIFS('BY INTERVENTION'!$E:$E,'BY INTERVENTION'!$B:$B,B41,'BY INTERVENTION'!$C:$C,C41,'BY INTERVENTION'!$AA:$AA,D41)</f>
        <v>10800</v>
      </c>
      <c r="F41" s="20">
        <f>SUMIFS('BY INTERVENTION'!$F:$F,'BY INTERVENTION'!$B:$B,B41,'BY INTERVENTION'!$C:$C,C41,'BY INTERVENTION'!$AA:$AA,D41)</f>
        <v>0</v>
      </c>
      <c r="G41" s="15"/>
      <c r="H41" s="15"/>
      <c r="I41" s="15"/>
      <c r="J41" s="16" t="s">
        <v>80</v>
      </c>
    </row>
    <row r="42" spans="1:10">
      <c r="A42" s="12" t="s">
        <v>25</v>
      </c>
      <c r="B42" s="12" t="s">
        <v>61</v>
      </c>
      <c r="C42" s="13" t="s">
        <v>76</v>
      </c>
      <c r="D42" s="12" t="s">
        <v>522</v>
      </c>
      <c r="E42" s="19">
        <f>SUMIFS('BY INTERVENTION'!$E:$E,'BY INTERVENTION'!$B:$B,B42,'BY INTERVENTION'!$C:$C,C42,'BY INTERVENTION'!$AA:$AA,D42)</f>
        <v>54287.7018</v>
      </c>
      <c r="F42" s="20">
        <f>SUMIFS('BY INTERVENTION'!$F:$F,'BY INTERVENTION'!$B:$B,B42,'BY INTERVENTION'!$C:$C,C42,'BY INTERVENTION'!$AA:$AA,D42)</f>
        <v>0</v>
      </c>
      <c r="G42" s="15"/>
      <c r="H42" s="15"/>
      <c r="I42" s="15"/>
      <c r="J42" s="16" t="s">
        <v>64</v>
      </c>
    </row>
    <row r="43" spans="1:10">
      <c r="A43" s="12" t="s">
        <v>25</v>
      </c>
      <c r="B43" s="12" t="s">
        <v>61</v>
      </c>
      <c r="C43" s="13" t="s">
        <v>104</v>
      </c>
      <c r="D43" s="12" t="s">
        <v>530</v>
      </c>
      <c r="E43" s="19">
        <f>SUMIFS('BY INTERVENTION'!$E:$E,'BY INTERVENTION'!$B:$B,B43,'BY INTERVENTION'!$C:$C,C43,'BY INTERVENTION'!$AA:$AA,D43)</f>
        <v>3100</v>
      </c>
      <c r="F43" s="20">
        <f>SUMIFS('BY INTERVENTION'!$F:$F,'BY INTERVENTION'!$B:$B,B43,'BY INTERVENTION'!$C:$C,C43,'BY INTERVENTION'!$AA:$AA,D43)</f>
        <v>0</v>
      </c>
      <c r="G43" s="15"/>
      <c r="H43" s="15"/>
      <c r="I43" s="15"/>
      <c r="J43" s="16" t="s">
        <v>96</v>
      </c>
    </row>
    <row r="44" spans="1:10">
      <c r="A44" s="12" t="s">
        <v>25</v>
      </c>
      <c r="B44" s="12" t="s">
        <v>61</v>
      </c>
      <c r="C44" s="13" t="s">
        <v>104</v>
      </c>
      <c r="D44" s="12" t="s">
        <v>519</v>
      </c>
      <c r="E44" s="19">
        <f>SUMIFS('BY INTERVENTION'!$E:$E,'BY INTERVENTION'!$B:$B,B44,'BY INTERVENTION'!$C:$C,C44,'BY INTERVENTION'!$AA:$AA,D44)</f>
        <v>15000</v>
      </c>
      <c r="F44" s="20">
        <f>SUMIFS('BY INTERVENTION'!$F:$F,'BY INTERVENTION'!$B:$B,B44,'BY INTERVENTION'!$C:$C,C44,'BY INTERVENTION'!$AA:$AA,D44)</f>
        <v>39000</v>
      </c>
      <c r="G44" s="15"/>
      <c r="H44" s="15"/>
      <c r="I44" s="15"/>
      <c r="J44" s="16" t="s">
        <v>29</v>
      </c>
    </row>
    <row r="45" spans="1:10">
      <c r="A45" s="12" t="s">
        <v>25</v>
      </c>
      <c r="B45" s="12" t="s">
        <v>61</v>
      </c>
      <c r="C45" s="13" t="s">
        <v>104</v>
      </c>
      <c r="D45" s="12" t="s">
        <v>522</v>
      </c>
      <c r="E45" s="23">
        <f>SUMIFS('BY INTERVENTION'!$E:$E,'BY INTERVENTION'!$B:$B,B45,'BY INTERVENTION'!$C:$C,C45,'BY INTERVENTION'!$AA:$AA,D45)</f>
        <v>125258.3634</v>
      </c>
      <c r="F45" s="24">
        <f>SUMIFS('BY INTERVENTION'!$F:$F,'BY INTERVENTION'!$B:$B,B45,'BY INTERVENTION'!$C:$C,C45,'BY INTERVENTION'!$AA:$AA,D45)</f>
        <v>2514.7299</v>
      </c>
      <c r="G45" s="15"/>
      <c r="H45" s="15"/>
      <c r="I45" s="15"/>
      <c r="J45" s="16" t="s">
        <v>64</v>
      </c>
    </row>
    <row r="46" spans="1:10">
      <c r="A46" s="12" t="s">
        <v>25</v>
      </c>
      <c r="B46" s="12" t="s">
        <v>61</v>
      </c>
      <c r="C46" s="13" t="s">
        <v>111</v>
      </c>
      <c r="D46" s="12" t="s">
        <v>530</v>
      </c>
      <c r="E46" s="19">
        <f>SUMIFS('BY INTERVENTION'!$E:$E,'BY INTERVENTION'!$B:$B,B46,'BY INTERVENTION'!$C:$C,C46,'BY INTERVENTION'!$AA:$AA,D46)</f>
        <v>82874</v>
      </c>
      <c r="F46" s="20">
        <f>SUMIFS('BY INTERVENTION'!$F:$F,'BY INTERVENTION'!$B:$B,B46,'BY INTERVENTION'!$C:$C,C46,'BY INTERVENTION'!$AA:$AA,D46)</f>
        <v>82404</v>
      </c>
      <c r="G46" s="15"/>
      <c r="H46" s="15"/>
      <c r="I46" s="15"/>
      <c r="J46" s="16" t="s">
        <v>75</v>
      </c>
    </row>
    <row r="47" spans="1:10">
      <c r="A47" s="12" t="s">
        <v>25</v>
      </c>
      <c r="B47" s="12" t="s">
        <v>61</v>
      </c>
      <c r="C47" s="13" t="s">
        <v>111</v>
      </c>
      <c r="D47" s="12" t="s">
        <v>519</v>
      </c>
      <c r="E47" s="19">
        <f>SUMIFS('BY INTERVENTION'!$E:$E,'BY INTERVENTION'!$B:$B,B47,'BY INTERVENTION'!$C:$C,C47,'BY INTERVENTION'!$AA:$AA,D47)</f>
        <v>43500</v>
      </c>
      <c r="F47" s="20">
        <f>SUMIFS('BY INTERVENTION'!$F:$F,'BY INTERVENTION'!$B:$B,B47,'BY INTERVENTION'!$C:$C,C47,'BY INTERVENTION'!$AA:$AA,D47)</f>
        <v>0</v>
      </c>
      <c r="G47" s="15"/>
      <c r="H47" s="15"/>
      <c r="I47" s="15"/>
      <c r="J47" s="16" t="s">
        <v>29</v>
      </c>
    </row>
    <row r="48" spans="1:10">
      <c r="A48" s="12" t="s">
        <v>25</v>
      </c>
      <c r="B48" s="12" t="s">
        <v>61</v>
      </c>
      <c r="C48" s="13" t="s">
        <v>111</v>
      </c>
      <c r="D48" s="12" t="s">
        <v>522</v>
      </c>
      <c r="E48" s="19">
        <f>SUMIFS('BY INTERVENTION'!$E:$E,'BY INTERVENTION'!$B:$B,B48,'BY INTERVENTION'!$C:$C,C48,'BY INTERVENTION'!$AA:$AA,D48)</f>
        <v>106407.4747</v>
      </c>
      <c r="F48" s="20">
        <f>SUMIFS('BY INTERVENTION'!$F:$F,'BY INTERVENTION'!$B:$B,B48,'BY INTERVENTION'!$C:$C,C48,'BY INTERVENTION'!$AA:$AA,D48)</f>
        <v>2206.8933</v>
      </c>
      <c r="G48" s="15"/>
      <c r="H48" s="15"/>
      <c r="I48" s="15"/>
      <c r="J48" s="16" t="s">
        <v>64</v>
      </c>
    </row>
    <row r="49" spans="1:10">
      <c r="A49" s="12" t="s">
        <v>25</v>
      </c>
      <c r="B49" s="12" t="s">
        <v>61</v>
      </c>
      <c r="C49" s="13" t="s">
        <v>124</v>
      </c>
      <c r="D49" s="12" t="s">
        <v>530</v>
      </c>
      <c r="E49" s="19">
        <f>SUMIFS('BY INTERVENTION'!$E:$E,'BY INTERVENTION'!$B:$B,B49,'BY INTERVENTION'!$C:$C,C49,'BY INTERVENTION'!$AA:$AA,D49)</f>
        <v>3640</v>
      </c>
      <c r="F49" s="20">
        <f>SUMIFS('BY INTERVENTION'!$F:$F,'BY INTERVENTION'!$B:$B,B49,'BY INTERVENTION'!$C:$C,C49,'BY INTERVENTION'!$AA:$AA,D49)</f>
        <v>0</v>
      </c>
      <c r="G49" s="15"/>
      <c r="H49" s="15"/>
      <c r="I49" s="15"/>
      <c r="J49" s="16" t="s">
        <v>75</v>
      </c>
    </row>
    <row r="50" spans="1:10">
      <c r="A50" s="12" t="s">
        <v>25</v>
      </c>
      <c r="B50" s="12" t="s">
        <v>61</v>
      </c>
      <c r="C50" s="13" t="s">
        <v>124</v>
      </c>
      <c r="D50" s="12" t="s">
        <v>519</v>
      </c>
      <c r="E50" s="19">
        <f>SUMIFS('BY INTERVENTION'!$E:$E,'BY INTERVENTION'!$B:$B,B50,'BY INTERVENTION'!$C:$C,C50,'BY INTERVENTION'!$AA:$AA,D50)</f>
        <v>61500</v>
      </c>
      <c r="F50" s="20">
        <f>SUMIFS('BY INTERVENTION'!$F:$F,'BY INTERVENTION'!$B:$B,B50,'BY INTERVENTION'!$C:$C,C50,'BY INTERVENTION'!$AA:$AA,D50)</f>
        <v>0</v>
      </c>
      <c r="G50" s="15"/>
      <c r="H50" s="15"/>
      <c r="I50" s="15"/>
      <c r="J50" s="16" t="s">
        <v>29</v>
      </c>
    </row>
    <row r="51" spans="1:10">
      <c r="A51" s="12" t="s">
        <v>25</v>
      </c>
      <c r="B51" s="12" t="s">
        <v>61</v>
      </c>
      <c r="C51" s="13" t="s">
        <v>124</v>
      </c>
      <c r="D51" s="12" t="s">
        <v>522</v>
      </c>
      <c r="E51" s="19">
        <f>SUMIFS('BY INTERVENTION'!$E:$E,'BY INTERVENTION'!$B:$B,B51,'BY INTERVENTION'!$C:$C,C51,'BY INTERVENTION'!$AA:$AA,D51)</f>
        <v>97853.9745</v>
      </c>
      <c r="F51" s="20">
        <f>SUMIFS('BY INTERVENTION'!$F:$F,'BY INTERVENTION'!$B:$B,B51,'BY INTERVENTION'!$C:$C,C51,'BY INTERVENTION'!$AA:$AA,D51)</f>
        <v>0</v>
      </c>
      <c r="G51" s="15"/>
      <c r="H51" s="15"/>
      <c r="I51" s="15"/>
      <c r="J51" s="16" t="s">
        <v>64</v>
      </c>
    </row>
    <row r="52" spans="1:10">
      <c r="A52" s="12" t="s">
        <v>25</v>
      </c>
      <c r="B52" s="12" t="s">
        <v>61</v>
      </c>
      <c r="C52" s="13" t="s">
        <v>129</v>
      </c>
      <c r="D52" s="12" t="s">
        <v>530</v>
      </c>
      <c r="E52" s="19">
        <f>SUMIFS('BY INTERVENTION'!$E:$E,'BY INTERVENTION'!$B:$B,B52,'BY INTERVENTION'!$C:$C,C52,'BY INTERVENTION'!$AA:$AA,D52)</f>
        <v>10210.83</v>
      </c>
      <c r="F52" s="20">
        <f>SUMIFS('BY INTERVENTION'!$F:$F,'BY INTERVENTION'!$B:$B,B52,'BY INTERVENTION'!$C:$C,C52,'BY INTERVENTION'!$AA:$AA,D52)</f>
        <v>0</v>
      </c>
      <c r="G52" s="15"/>
      <c r="H52" s="15"/>
      <c r="I52" s="15"/>
      <c r="J52" s="16" t="s">
        <v>96</v>
      </c>
    </row>
    <row r="53" spans="1:10">
      <c r="A53" s="12" t="s">
        <v>25</v>
      </c>
      <c r="B53" s="12" t="s">
        <v>61</v>
      </c>
      <c r="C53" s="13" t="s">
        <v>129</v>
      </c>
      <c r="D53" s="12" t="s">
        <v>519</v>
      </c>
      <c r="E53" s="19">
        <f>SUMIFS('BY INTERVENTION'!$E:$E,'BY INTERVENTION'!$B:$B,B53,'BY INTERVENTION'!$C:$C,C53,'BY INTERVENTION'!$AA:$AA,D53)</f>
        <v>0</v>
      </c>
      <c r="F53" s="20">
        <f>SUMIFS('BY INTERVENTION'!$F:$F,'BY INTERVENTION'!$B:$B,B53,'BY INTERVENTION'!$C:$C,C53,'BY INTERVENTION'!$AA:$AA,D53)</f>
        <v>46500</v>
      </c>
      <c r="G53" s="15"/>
      <c r="H53" s="15"/>
      <c r="I53" s="15"/>
      <c r="J53" s="16" t="s">
        <v>29</v>
      </c>
    </row>
    <row r="54" ht="45" customHeight="1" spans="1:10">
      <c r="A54" s="12" t="s">
        <v>25</v>
      </c>
      <c r="B54" s="12" t="s">
        <v>61</v>
      </c>
      <c r="C54" s="13" t="s">
        <v>129</v>
      </c>
      <c r="D54" s="12" t="s">
        <v>532</v>
      </c>
      <c r="E54" s="19">
        <f>SUMIFS('BY INTERVENTION'!$E:$E,'BY INTERVENTION'!$B:$B,B54,'BY INTERVENTION'!$C:$C,C54,'BY INTERVENTION'!$AA:$AA,D54)</f>
        <v>2000</v>
      </c>
      <c r="F54" s="20">
        <f>SUMIFS('BY INTERVENTION'!$F:$F,'BY INTERVENTION'!$B:$B,B54,'BY INTERVENTION'!$C:$C,C54,'BY INTERVENTION'!$AA:$AA,D54)</f>
        <v>0</v>
      </c>
      <c r="G54" s="15"/>
      <c r="H54" s="15"/>
      <c r="I54" s="15"/>
      <c r="J54" s="16" t="s">
        <v>134</v>
      </c>
    </row>
    <row r="55" ht="45" customHeight="1" spans="1:10">
      <c r="A55" s="12" t="s">
        <v>25</v>
      </c>
      <c r="B55" s="12" t="s">
        <v>61</v>
      </c>
      <c r="C55" s="13" t="s">
        <v>129</v>
      </c>
      <c r="D55" s="12" t="s">
        <v>531</v>
      </c>
      <c r="E55" s="19">
        <f>SUMIFS('BY INTERVENTION'!$E:$E,'BY INTERVENTION'!$B:$B,B55,'BY INTERVENTION'!$C:$C,C55,'BY INTERVENTION'!$AA:$AA,D55)</f>
        <v>10800</v>
      </c>
      <c r="F55" s="20">
        <f>SUMIFS('BY INTERVENTION'!$F:$F,'BY INTERVENTION'!$B:$B,B55,'BY INTERVENTION'!$C:$C,C55,'BY INTERVENTION'!$AA:$AA,D55)</f>
        <v>0</v>
      </c>
      <c r="G55" s="15"/>
      <c r="H55" s="15"/>
      <c r="I55" s="15"/>
      <c r="J55" s="16" t="s">
        <v>80</v>
      </c>
    </row>
    <row r="56" spans="1:10">
      <c r="A56" s="12" t="s">
        <v>25</v>
      </c>
      <c r="B56" s="12" t="s">
        <v>61</v>
      </c>
      <c r="C56" s="13" t="s">
        <v>129</v>
      </c>
      <c r="D56" s="12" t="s">
        <v>522</v>
      </c>
      <c r="E56" s="19">
        <f>SUMIFS('BY INTERVENTION'!$E:$E,'BY INTERVENTION'!$B:$B,B56,'BY INTERVENTION'!$C:$C,C56,'BY INTERVENTION'!$AA:$AA,D56)</f>
        <v>88312.0673</v>
      </c>
      <c r="F56" s="20">
        <f>SUMIFS('BY INTERVENTION'!$F:$F,'BY INTERVENTION'!$B:$B,B56,'BY INTERVENTION'!$C:$C,C56,'BY INTERVENTION'!$AA:$AA,D56)</f>
        <v>0</v>
      </c>
      <c r="G56" s="15"/>
      <c r="H56" s="15"/>
      <c r="I56" s="15"/>
      <c r="J56" s="16" t="s">
        <v>64</v>
      </c>
    </row>
    <row r="57" ht="30" customHeight="1" spans="1:10">
      <c r="A57" s="12" t="s">
        <v>25</v>
      </c>
      <c r="B57" s="12" t="s">
        <v>61</v>
      </c>
      <c r="C57" s="13" t="s">
        <v>137</v>
      </c>
      <c r="D57" s="12" t="s">
        <v>520</v>
      </c>
      <c r="E57" s="19">
        <f>SUMIFS('BY INTERVENTION'!$E:$E,'BY INTERVENTION'!$B:$B,B57,'BY INTERVENTION'!$C:$C,C57,'BY INTERVENTION'!$AA:$AA,D57)</f>
        <v>1765.82</v>
      </c>
      <c r="F57" s="20">
        <f>SUMIFS('BY INTERVENTION'!$F:$F,'BY INTERVENTION'!$B:$B,B57,'BY INTERVENTION'!$C:$C,C57,'BY INTERVENTION'!$AA:$AA,D57)</f>
        <v>0</v>
      </c>
      <c r="G57" s="15"/>
      <c r="H57" s="15"/>
      <c r="I57" s="15"/>
      <c r="J57" s="16" t="s">
        <v>35</v>
      </c>
    </row>
    <row r="58" spans="1:10">
      <c r="A58" s="12" t="s">
        <v>25</v>
      </c>
      <c r="B58" s="12" t="s">
        <v>61</v>
      </c>
      <c r="C58" s="13" t="s">
        <v>137</v>
      </c>
      <c r="D58" s="12" t="s">
        <v>522</v>
      </c>
      <c r="E58" s="23">
        <f>SUMIFS('BY INTERVENTION'!$E:$E,'BY INTERVENTION'!$B:$B,B58,'BY INTERVENTION'!$C:$C,C58,'BY INTERVENTION'!$AA:$AA,D58)</f>
        <v>66589.8614</v>
      </c>
      <c r="F58" s="24">
        <f>SUMIFS('BY INTERVENTION'!$F:$F,'BY INTERVENTION'!$B:$B,B58,'BY INTERVENTION'!$C:$C,C58,'BY INTERVENTION'!$AA:$AA,D58)</f>
        <v>1381.7802</v>
      </c>
      <c r="G58" s="15"/>
      <c r="H58" s="15"/>
      <c r="I58" s="15"/>
      <c r="J58" s="16" t="s">
        <v>64</v>
      </c>
    </row>
    <row r="59" spans="1:10">
      <c r="A59" s="12" t="s">
        <v>25</v>
      </c>
      <c r="B59" s="12" t="s">
        <v>61</v>
      </c>
      <c r="C59" s="13" t="s">
        <v>138</v>
      </c>
      <c r="D59" s="12" t="s">
        <v>530</v>
      </c>
      <c r="E59" s="19">
        <f>SUMIFS('BY INTERVENTION'!$E:$E,'BY INTERVENTION'!$B:$B,B59,'BY INTERVENTION'!$C:$C,C59,'BY INTERVENTION'!$AA:$AA,D59)</f>
        <v>12440</v>
      </c>
      <c r="F59" s="20">
        <f>SUMIFS('BY INTERVENTION'!$F:$F,'BY INTERVENTION'!$B:$B,B59,'BY INTERVENTION'!$C:$C,C59,'BY INTERVENTION'!$AA:$AA,D59)</f>
        <v>0</v>
      </c>
      <c r="G59" s="15"/>
      <c r="H59" s="15"/>
      <c r="I59" s="15"/>
      <c r="J59" s="16" t="s">
        <v>75</v>
      </c>
    </row>
    <row r="60" spans="1:10">
      <c r="A60" s="12" t="s">
        <v>25</v>
      </c>
      <c r="B60" s="12" t="s">
        <v>61</v>
      </c>
      <c r="C60" s="13" t="s">
        <v>138</v>
      </c>
      <c r="D60" s="12" t="s">
        <v>519</v>
      </c>
      <c r="E60" s="19">
        <f>SUMIFS('BY INTERVENTION'!$E:$E,'BY INTERVENTION'!$B:$B,B60,'BY INTERVENTION'!$C:$C,C60,'BY INTERVENTION'!$AA:$AA,D60)</f>
        <v>15000</v>
      </c>
      <c r="F60" s="20">
        <f>SUMIFS('BY INTERVENTION'!$F:$F,'BY INTERVENTION'!$B:$B,B60,'BY INTERVENTION'!$C:$C,C60,'BY INTERVENTION'!$AA:$AA,D60)</f>
        <v>0</v>
      </c>
      <c r="G60" s="15"/>
      <c r="H60" s="15"/>
      <c r="I60" s="15"/>
      <c r="J60" s="16" t="s">
        <v>29</v>
      </c>
    </row>
    <row r="61" spans="1:10">
      <c r="A61" s="12" t="s">
        <v>25</v>
      </c>
      <c r="B61" s="12" t="s">
        <v>61</v>
      </c>
      <c r="C61" s="13" t="s">
        <v>138</v>
      </c>
      <c r="D61" s="12" t="s">
        <v>522</v>
      </c>
      <c r="E61" s="19">
        <f>SUMIFS('BY INTERVENTION'!$E:$E,'BY INTERVENTION'!$B:$B,B61,'BY INTERVENTION'!$C:$C,C61,'BY INTERVENTION'!$AA:$AA,D61)</f>
        <v>124697.0997</v>
      </c>
      <c r="F61" s="20">
        <f>SUMIFS('BY INTERVENTION'!$F:$F,'BY INTERVENTION'!$B:$B,B61,'BY INTERVENTION'!$C:$C,C61,'BY INTERVENTION'!$AA:$AA,D61)</f>
        <v>0</v>
      </c>
      <c r="G61" s="15"/>
      <c r="H61" s="15"/>
      <c r="I61" s="15"/>
      <c r="J61" s="16" t="s">
        <v>64</v>
      </c>
    </row>
    <row r="62" spans="1:10">
      <c r="A62" s="12" t="s">
        <v>25</v>
      </c>
      <c r="B62" s="12" t="s">
        <v>61</v>
      </c>
      <c r="C62" s="13" t="s">
        <v>142</v>
      </c>
      <c r="D62" s="12" t="s">
        <v>527</v>
      </c>
      <c r="E62" s="21">
        <f>SUMIFS('BY INTERVENTION'!$E:$E,'BY INTERVENTION'!$B:$B,B62,'BY INTERVENTION'!$C:$C,C62,'BY INTERVENTION'!$AA:$AA,D62)</f>
        <v>0</v>
      </c>
      <c r="F62" s="22">
        <f>SUMIFS('BY INTERVENTION'!$F:$F,'BY INTERVENTION'!$B:$B,B62,'BY INTERVENTION'!$C:$C,C62,'BY INTERVENTION'!$AA:$AA,D62)</f>
        <v>0</v>
      </c>
      <c r="G62" s="15"/>
      <c r="H62" s="15"/>
      <c r="I62" s="15"/>
      <c r="J62" s="16" t="s">
        <v>39</v>
      </c>
    </row>
    <row r="63" spans="1:10">
      <c r="A63" s="12" t="s">
        <v>25</v>
      </c>
      <c r="B63" s="12" t="s">
        <v>61</v>
      </c>
      <c r="C63" s="13" t="s">
        <v>142</v>
      </c>
      <c r="D63" s="12" t="s">
        <v>530</v>
      </c>
      <c r="E63" s="19">
        <f>SUMIFS('BY INTERVENTION'!$E:$E,'BY INTERVENTION'!$B:$B,B63,'BY INTERVENTION'!$C:$C,C63,'BY INTERVENTION'!$AA:$AA,D63)</f>
        <v>6375</v>
      </c>
      <c r="F63" s="20">
        <f>SUMIFS('BY INTERVENTION'!$F:$F,'BY INTERVENTION'!$B:$B,B63,'BY INTERVENTION'!$C:$C,C63,'BY INTERVENTION'!$AA:$AA,D63)</f>
        <v>0</v>
      </c>
      <c r="G63" s="15"/>
      <c r="H63" s="15"/>
      <c r="I63" s="15"/>
      <c r="J63" s="16" t="s">
        <v>96</v>
      </c>
    </row>
    <row r="64" spans="1:10">
      <c r="A64" s="12" t="s">
        <v>25</v>
      </c>
      <c r="B64" s="12" t="s">
        <v>61</v>
      </c>
      <c r="C64" s="13" t="s">
        <v>142</v>
      </c>
      <c r="D64" s="12" t="s">
        <v>519</v>
      </c>
      <c r="E64" s="19">
        <f>SUMIFS('BY INTERVENTION'!$E:$E,'BY INTERVENTION'!$B:$B,B64,'BY INTERVENTION'!$C:$C,C64,'BY INTERVENTION'!$AA:$AA,D64)</f>
        <v>21000</v>
      </c>
      <c r="F64" s="20">
        <f>SUMIFS('BY INTERVENTION'!$F:$F,'BY INTERVENTION'!$B:$B,B64,'BY INTERVENTION'!$C:$C,C64,'BY INTERVENTION'!$AA:$AA,D64)</f>
        <v>0</v>
      </c>
      <c r="G64" s="15"/>
      <c r="H64" s="15"/>
      <c r="I64" s="15"/>
      <c r="J64" s="16" t="s">
        <v>29</v>
      </c>
    </row>
    <row r="65" spans="1:10">
      <c r="A65" s="12" t="s">
        <v>25</v>
      </c>
      <c r="B65" s="12" t="s">
        <v>61</v>
      </c>
      <c r="C65" s="13" t="s">
        <v>142</v>
      </c>
      <c r="D65" s="12" t="s">
        <v>522</v>
      </c>
      <c r="E65" s="23">
        <f>SUMIFS('BY INTERVENTION'!$E:$E,'BY INTERVENTION'!$B:$B,B65,'BY INTERVENTION'!$C:$C,C65,'BY INTERVENTION'!$AA:$AA,D65)</f>
        <v>11618.2237</v>
      </c>
      <c r="F65" s="24">
        <f>SUMIFS('BY INTERVENTION'!$F:$F,'BY INTERVENTION'!$B:$B,B65,'BY INTERVENTION'!$C:$C,C65,'BY INTERVENTION'!$AA:$AA,D65)</f>
        <v>246.641</v>
      </c>
      <c r="G65" s="15"/>
      <c r="H65" s="15"/>
      <c r="I65" s="15"/>
      <c r="J65" s="16" t="s">
        <v>64</v>
      </c>
    </row>
    <row r="66" spans="1:10">
      <c r="A66" s="12" t="s">
        <v>25</v>
      </c>
      <c r="B66" s="12" t="s">
        <v>61</v>
      </c>
      <c r="C66" s="13" t="s">
        <v>142</v>
      </c>
      <c r="D66" s="12" t="s">
        <v>521</v>
      </c>
      <c r="E66" s="19">
        <f>SUMIFS('BY INTERVENTION'!$E:$E,'BY INTERVENTION'!$B:$B,B66,'BY INTERVENTION'!$C:$C,C66,'BY INTERVENTION'!$AA:$AA,D66)</f>
        <v>12872</v>
      </c>
      <c r="F66" s="20">
        <f>SUMIFS('BY INTERVENTION'!$F:$F,'BY INTERVENTION'!$B:$B,B66,'BY INTERVENTION'!$C:$C,C66,'BY INTERVENTION'!$AA:$AA,D66)</f>
        <v>0</v>
      </c>
      <c r="G66" s="15"/>
      <c r="H66" s="15"/>
      <c r="I66" s="15"/>
      <c r="J66" s="16" t="s">
        <v>33</v>
      </c>
    </row>
    <row r="67" spans="1:10">
      <c r="A67" s="12" t="s">
        <v>25</v>
      </c>
      <c r="B67" s="12" t="s">
        <v>61</v>
      </c>
      <c r="C67" s="13" t="s">
        <v>149</v>
      </c>
      <c r="D67" s="12" t="s">
        <v>530</v>
      </c>
      <c r="E67" s="19">
        <f>SUMIFS('BY INTERVENTION'!$E:$E,'BY INTERVENTION'!$B:$B,B67,'BY INTERVENTION'!$C:$C,C67,'BY INTERVENTION'!$AA:$AA,D67)</f>
        <v>0</v>
      </c>
      <c r="F67" s="20">
        <f>SUMIFS('BY INTERVENTION'!$F:$F,'BY INTERVENTION'!$B:$B,B67,'BY INTERVENTION'!$C:$C,C67,'BY INTERVENTION'!$AA:$AA,D67)</f>
        <v>0</v>
      </c>
      <c r="G67" s="15"/>
      <c r="H67" s="15"/>
      <c r="I67" s="15"/>
      <c r="J67" s="16" t="s">
        <v>75</v>
      </c>
    </row>
    <row r="68" spans="1:10">
      <c r="A68" s="12" t="s">
        <v>25</v>
      </c>
      <c r="B68" s="12" t="s">
        <v>61</v>
      </c>
      <c r="C68" s="13" t="s">
        <v>149</v>
      </c>
      <c r="D68" s="12" t="s">
        <v>519</v>
      </c>
      <c r="E68" s="19">
        <f>SUMIFS('BY INTERVENTION'!$E:$E,'BY INTERVENTION'!$B:$B,B68,'BY INTERVENTION'!$C:$C,C68,'BY INTERVENTION'!$AA:$AA,D68)</f>
        <v>0</v>
      </c>
      <c r="F68" s="20">
        <f>SUMIFS('BY INTERVENTION'!$F:$F,'BY INTERVENTION'!$B:$B,B68,'BY INTERVENTION'!$C:$C,C68,'BY INTERVENTION'!$AA:$AA,D68)</f>
        <v>90000</v>
      </c>
      <c r="G68" s="15"/>
      <c r="H68" s="15"/>
      <c r="I68" s="15"/>
      <c r="J68" s="16" t="s">
        <v>29</v>
      </c>
    </row>
    <row r="69" ht="45" customHeight="1" spans="1:10">
      <c r="A69" s="12" t="s">
        <v>25</v>
      </c>
      <c r="B69" s="12" t="s">
        <v>61</v>
      </c>
      <c r="C69" s="13" t="s">
        <v>149</v>
      </c>
      <c r="D69" s="12" t="s">
        <v>531</v>
      </c>
      <c r="E69" s="19">
        <f>SUMIFS('BY INTERVENTION'!$E:$E,'BY INTERVENTION'!$B:$B,B69,'BY INTERVENTION'!$C:$C,C69,'BY INTERVENTION'!$AA:$AA,D69)</f>
        <v>1500</v>
      </c>
      <c r="F69" s="20">
        <f>SUMIFS('BY INTERVENTION'!$F:$F,'BY INTERVENTION'!$B:$B,B69,'BY INTERVENTION'!$C:$C,C69,'BY INTERVENTION'!$AA:$AA,D69)</f>
        <v>0</v>
      </c>
      <c r="G69" s="15"/>
      <c r="H69" s="15"/>
      <c r="I69" s="15"/>
      <c r="J69" s="16" t="s">
        <v>80</v>
      </c>
    </row>
    <row r="70" spans="1:10">
      <c r="A70" s="12" t="s">
        <v>25</v>
      </c>
      <c r="B70" s="12" t="s">
        <v>61</v>
      </c>
      <c r="C70" s="13" t="s">
        <v>149</v>
      </c>
      <c r="D70" s="12" t="s">
        <v>522</v>
      </c>
      <c r="E70" s="19">
        <f>SUMIFS('BY INTERVENTION'!$E:$E,'BY INTERVENTION'!$B:$B,B70,'BY INTERVENTION'!$C:$C,C70,'BY INTERVENTION'!$AA:$AA,D70)</f>
        <v>65017.1853</v>
      </c>
      <c r="F70" s="20">
        <f>SUMIFS('BY INTERVENTION'!$F:$F,'BY INTERVENTION'!$B:$B,B70,'BY INTERVENTION'!$C:$C,C70,'BY INTERVENTION'!$AA:$AA,D70)</f>
        <v>0</v>
      </c>
      <c r="G70" s="15"/>
      <c r="H70" s="15"/>
      <c r="I70" s="15"/>
      <c r="J70" s="16" t="s">
        <v>64</v>
      </c>
    </row>
    <row r="71" spans="1:10">
      <c r="A71" s="12" t="s">
        <v>25</v>
      </c>
      <c r="B71" s="12" t="s">
        <v>61</v>
      </c>
      <c r="C71" s="13" t="s">
        <v>156</v>
      </c>
      <c r="D71" s="12" t="s">
        <v>519</v>
      </c>
      <c r="E71" s="19">
        <f>SUMIFS('BY INTERVENTION'!$E:$E,'BY INTERVENTION'!$B:$B,B71,'BY INTERVENTION'!$C:$C,C71,'BY INTERVENTION'!$AA:$AA,D71)</f>
        <v>43500</v>
      </c>
      <c r="F71" s="20">
        <f>SUMIFS('BY INTERVENTION'!$F:$F,'BY INTERVENTION'!$B:$B,B71,'BY INTERVENTION'!$C:$C,C71,'BY INTERVENTION'!$AA:$AA,D71)</f>
        <v>0</v>
      </c>
      <c r="G71" s="15"/>
      <c r="H71" s="15"/>
      <c r="I71" s="15"/>
      <c r="J71" s="16" t="s">
        <v>29</v>
      </c>
    </row>
    <row r="72" spans="1:10">
      <c r="A72" s="12" t="s">
        <v>25</v>
      </c>
      <c r="B72" s="12" t="s">
        <v>61</v>
      </c>
      <c r="C72" s="13" t="s">
        <v>156</v>
      </c>
      <c r="D72" s="12" t="s">
        <v>522</v>
      </c>
      <c r="E72" s="23">
        <f>SUMIFS('BY INTERVENTION'!$E:$E,'BY INTERVENTION'!$B:$B,B72,'BY INTERVENTION'!$C:$C,C72,'BY INTERVENTION'!$AA:$AA,D72)</f>
        <v>77856.9903</v>
      </c>
      <c r="F72" s="24">
        <f>SUMIFS('BY INTERVENTION'!$F:$F,'BY INTERVENTION'!$B:$B,B72,'BY INTERVENTION'!$C:$C,C72,'BY INTERVENTION'!$AA:$AA,D72)</f>
        <v>1245.218</v>
      </c>
      <c r="G72" s="15"/>
      <c r="H72" s="15"/>
      <c r="I72" s="15"/>
      <c r="J72" s="16" t="s">
        <v>64</v>
      </c>
    </row>
    <row r="73" spans="1:10">
      <c r="A73" s="12" t="s">
        <v>25</v>
      </c>
      <c r="B73" s="12" t="s">
        <v>61</v>
      </c>
      <c r="C73" s="13" t="s">
        <v>158</v>
      </c>
      <c r="D73" s="12" t="s">
        <v>530</v>
      </c>
      <c r="E73" s="19">
        <f>SUMIFS('BY INTERVENTION'!$E:$E,'BY INTERVENTION'!$B:$B,B73,'BY INTERVENTION'!$C:$C,C73,'BY INTERVENTION'!$AA:$AA,D73)</f>
        <v>7650</v>
      </c>
      <c r="F73" s="20">
        <f>SUMIFS('BY INTERVENTION'!$F:$F,'BY INTERVENTION'!$B:$B,B73,'BY INTERVENTION'!$C:$C,C73,'BY INTERVENTION'!$AA:$AA,D73)</f>
        <v>3000</v>
      </c>
      <c r="G73" s="15"/>
      <c r="H73" s="15"/>
      <c r="I73" s="15"/>
      <c r="J73" s="16" t="s">
        <v>75</v>
      </c>
    </row>
    <row r="74" spans="1:10">
      <c r="A74" s="12" t="s">
        <v>25</v>
      </c>
      <c r="B74" s="12" t="s">
        <v>61</v>
      </c>
      <c r="C74" s="13" t="s">
        <v>158</v>
      </c>
      <c r="D74" s="12" t="s">
        <v>519</v>
      </c>
      <c r="E74" s="19">
        <f>SUMIFS('BY INTERVENTION'!$E:$E,'BY INTERVENTION'!$B:$B,B74,'BY INTERVENTION'!$C:$C,C74,'BY INTERVENTION'!$AA:$AA,D74)</f>
        <v>50000</v>
      </c>
      <c r="F74" s="20">
        <f>SUMIFS('BY INTERVENTION'!$F:$F,'BY INTERVENTION'!$B:$B,B74,'BY INTERVENTION'!$C:$C,C74,'BY INTERVENTION'!$AA:$AA,D74)</f>
        <v>0</v>
      </c>
      <c r="G74" s="15"/>
      <c r="H74" s="15"/>
      <c r="I74" s="15"/>
      <c r="J74" s="16" t="s">
        <v>29</v>
      </c>
    </row>
    <row r="75" ht="30" customHeight="1" spans="1:10">
      <c r="A75" s="12" t="s">
        <v>25</v>
      </c>
      <c r="B75" s="12" t="s">
        <v>61</v>
      </c>
      <c r="C75" s="13" t="s">
        <v>158</v>
      </c>
      <c r="D75" s="12" t="s">
        <v>520</v>
      </c>
      <c r="E75" s="19">
        <f>SUMIFS('BY INTERVENTION'!$E:$E,'BY INTERVENTION'!$B:$B,B75,'BY INTERVENTION'!$C:$C,C75,'BY INTERVENTION'!$AA:$AA,D75)</f>
        <v>712.5</v>
      </c>
      <c r="F75" s="20">
        <f>SUMIFS('BY INTERVENTION'!$F:$F,'BY INTERVENTION'!$B:$B,B75,'BY INTERVENTION'!$C:$C,C75,'BY INTERVENTION'!$AA:$AA,D75)</f>
        <v>0</v>
      </c>
      <c r="G75" s="15"/>
      <c r="H75" s="15"/>
      <c r="I75" s="15"/>
      <c r="J75" s="16" t="s">
        <v>35</v>
      </c>
    </row>
    <row r="76" ht="45" customHeight="1" spans="1:10">
      <c r="A76" s="12" t="s">
        <v>25</v>
      </c>
      <c r="B76" s="12" t="s">
        <v>61</v>
      </c>
      <c r="C76" s="13" t="s">
        <v>158</v>
      </c>
      <c r="D76" s="12" t="s">
        <v>531</v>
      </c>
      <c r="E76" s="19">
        <f>SUMIFS('BY INTERVENTION'!$E:$E,'BY INTERVENTION'!$B:$B,B76,'BY INTERVENTION'!$C:$C,C76,'BY INTERVENTION'!$AA:$AA,D76)</f>
        <v>4000</v>
      </c>
      <c r="F76" s="20">
        <f>SUMIFS('BY INTERVENTION'!$F:$F,'BY INTERVENTION'!$B:$B,B76,'BY INTERVENTION'!$C:$C,C76,'BY INTERVENTION'!$AA:$AA,D76)</f>
        <v>0</v>
      </c>
      <c r="G76" s="15"/>
      <c r="H76" s="15"/>
      <c r="I76" s="15"/>
      <c r="J76" s="16" t="s">
        <v>80</v>
      </c>
    </row>
    <row r="77" spans="1:10">
      <c r="A77" s="12" t="s">
        <v>25</v>
      </c>
      <c r="B77" s="12" t="s">
        <v>61</v>
      </c>
      <c r="C77" s="13" t="s">
        <v>158</v>
      </c>
      <c r="D77" s="12" t="s">
        <v>522</v>
      </c>
      <c r="E77" s="19">
        <f>SUMIFS('BY INTERVENTION'!$E:$E,'BY INTERVENTION'!$B:$B,B77,'BY INTERVENTION'!$C:$C,C77,'BY INTERVENTION'!$AA:$AA,D77)</f>
        <v>65508.0822</v>
      </c>
      <c r="F77" s="20">
        <f>SUMIFS('BY INTERVENTION'!$F:$F,'BY INTERVENTION'!$B:$B,B77,'BY INTERVENTION'!$C:$C,C77,'BY INTERVENTION'!$AA:$AA,D77)</f>
        <v>1390.6585</v>
      </c>
      <c r="G77" s="15"/>
      <c r="H77" s="15"/>
      <c r="I77" s="15"/>
      <c r="J77" s="16" t="s">
        <v>64</v>
      </c>
    </row>
    <row r="78" spans="1:10">
      <c r="A78" s="12" t="s">
        <v>25</v>
      </c>
      <c r="B78" s="12" t="s">
        <v>61</v>
      </c>
      <c r="C78" s="13" t="s">
        <v>162</v>
      </c>
      <c r="D78" s="12" t="s">
        <v>530</v>
      </c>
      <c r="E78" s="19">
        <f>SUMIFS('BY INTERVENTION'!$E:$E,'BY INTERVENTION'!$B:$B,B78,'BY INTERVENTION'!$C:$C,C78,'BY INTERVENTION'!$AA:$AA,D78)</f>
        <v>455000</v>
      </c>
      <c r="F78" s="20">
        <f>SUMIFS('BY INTERVENTION'!$F:$F,'BY INTERVENTION'!$B:$B,B78,'BY INTERVENTION'!$C:$C,C78,'BY INTERVENTION'!$AA:$AA,D78)</f>
        <v>0</v>
      </c>
      <c r="G78" s="15"/>
      <c r="H78" s="15"/>
      <c r="I78" s="15"/>
      <c r="J78" s="16" t="s">
        <v>96</v>
      </c>
    </row>
    <row r="79" spans="1:10">
      <c r="A79" s="12" t="s">
        <v>25</v>
      </c>
      <c r="B79" s="12" t="s">
        <v>61</v>
      </c>
      <c r="C79" s="13" t="s">
        <v>162</v>
      </c>
      <c r="D79" s="12" t="s">
        <v>522</v>
      </c>
      <c r="E79" s="19">
        <f>SUMIFS('BY INTERVENTION'!$E:$E,'BY INTERVENTION'!$B:$B,B79,'BY INTERVENTION'!$C:$C,C79,'BY INTERVENTION'!$AA:$AA,D79)</f>
        <v>74953.2803</v>
      </c>
      <c r="F79" s="20">
        <f>SUMIFS('BY INTERVENTION'!$F:$F,'BY INTERVENTION'!$B:$B,B79,'BY INTERVENTION'!$C:$C,C79,'BY INTERVENTION'!$AA:$AA,D79)</f>
        <v>0</v>
      </c>
      <c r="G79" s="15"/>
      <c r="H79" s="15"/>
      <c r="I79" s="15"/>
      <c r="J79" s="16" t="s">
        <v>64</v>
      </c>
    </row>
    <row r="80" spans="1:10">
      <c r="A80" s="12" t="s">
        <v>25</v>
      </c>
      <c r="B80" s="12" t="s">
        <v>61</v>
      </c>
      <c r="C80" s="13" t="s">
        <v>162</v>
      </c>
      <c r="D80" s="12" t="s">
        <v>533</v>
      </c>
      <c r="E80" s="19">
        <f>SUMIFS('BY INTERVENTION'!$E:$E,'BY INTERVENTION'!$B:$B,B80,'BY INTERVENTION'!$C:$C,C80,'BY INTERVENTION'!$AA:$AA,D80)</f>
        <v>849</v>
      </c>
      <c r="F80" s="20">
        <f>SUMIFS('BY INTERVENTION'!$F:$F,'BY INTERVENTION'!$B:$B,B80,'BY INTERVENTION'!$C:$C,C80,'BY INTERVENTION'!$AA:$AA,D80)</f>
        <v>0</v>
      </c>
      <c r="G80" s="15"/>
      <c r="H80" s="15"/>
      <c r="I80" s="15"/>
      <c r="J80" s="16" t="s">
        <v>166</v>
      </c>
    </row>
    <row r="81" spans="1:10">
      <c r="A81" s="12" t="s">
        <v>25</v>
      </c>
      <c r="B81" s="12" t="s">
        <v>61</v>
      </c>
      <c r="C81" s="13" t="s">
        <v>168</v>
      </c>
      <c r="D81" s="12" t="s">
        <v>530</v>
      </c>
      <c r="E81" s="19">
        <f>SUMIFS('BY INTERVENTION'!$E:$E,'BY INTERVENTION'!$B:$B,B81,'BY INTERVENTION'!$C:$C,C81,'BY INTERVENTION'!$AA:$AA,D81)</f>
        <v>0</v>
      </c>
      <c r="F81" s="20">
        <f>SUMIFS('BY INTERVENTION'!$F:$F,'BY INTERVENTION'!$B:$B,B81,'BY INTERVENTION'!$C:$C,C81,'BY INTERVENTION'!$AA:$AA,D81)</f>
        <v>8760</v>
      </c>
      <c r="G81" s="15"/>
      <c r="H81" s="15"/>
      <c r="I81" s="15"/>
      <c r="J81" s="16" t="s">
        <v>75</v>
      </c>
    </row>
    <row r="82" spans="1:10">
      <c r="A82" s="12" t="s">
        <v>25</v>
      </c>
      <c r="B82" s="12" t="s">
        <v>61</v>
      </c>
      <c r="C82" s="13" t="s">
        <v>168</v>
      </c>
      <c r="D82" s="12" t="s">
        <v>519</v>
      </c>
      <c r="E82" s="19">
        <f>SUMIFS('BY INTERVENTION'!$E:$E,'BY INTERVENTION'!$B:$B,B82,'BY INTERVENTION'!$C:$C,C82,'BY INTERVENTION'!$AA:$AA,D82)</f>
        <v>26000</v>
      </c>
      <c r="F82" s="20">
        <f>SUMIFS('BY INTERVENTION'!$F:$F,'BY INTERVENTION'!$B:$B,B82,'BY INTERVENTION'!$C:$C,C82,'BY INTERVENTION'!$AA:$AA,D82)</f>
        <v>15000</v>
      </c>
      <c r="G82" s="15"/>
      <c r="H82" s="15"/>
      <c r="I82" s="15"/>
      <c r="J82" s="16" t="s">
        <v>29</v>
      </c>
    </row>
    <row r="83" ht="45" customHeight="1" spans="1:10">
      <c r="A83" s="12" t="s">
        <v>25</v>
      </c>
      <c r="B83" s="12" t="s">
        <v>61</v>
      </c>
      <c r="C83" s="13" t="s">
        <v>168</v>
      </c>
      <c r="D83" s="12" t="s">
        <v>531</v>
      </c>
      <c r="E83" s="19">
        <f>SUMIFS('BY INTERVENTION'!$E:$E,'BY INTERVENTION'!$B:$B,B83,'BY INTERVENTION'!$C:$C,C83,'BY INTERVENTION'!$AA:$AA,D83)</f>
        <v>5000</v>
      </c>
      <c r="F83" s="20">
        <f>SUMIFS('BY INTERVENTION'!$F:$F,'BY INTERVENTION'!$B:$B,B83,'BY INTERVENTION'!$C:$C,C83,'BY INTERVENTION'!$AA:$AA,D83)</f>
        <v>0</v>
      </c>
      <c r="G83" s="15"/>
      <c r="H83" s="15"/>
      <c r="I83" s="15"/>
      <c r="J83" s="16" t="s">
        <v>80</v>
      </c>
    </row>
    <row r="84" spans="1:10">
      <c r="A84" s="12" t="s">
        <v>25</v>
      </c>
      <c r="B84" s="12" t="s">
        <v>61</v>
      </c>
      <c r="C84" s="13" t="s">
        <v>168</v>
      </c>
      <c r="D84" s="12" t="s">
        <v>522</v>
      </c>
      <c r="E84" s="19">
        <f>SUMIFS('BY INTERVENTION'!$E:$E,'BY INTERVENTION'!$B:$B,B84,'BY INTERVENTION'!$C:$C,C84,'BY INTERVENTION'!$AA:$AA,D84)</f>
        <v>58713.1157</v>
      </c>
      <c r="F84" s="20">
        <f>SUMIFS('BY INTERVENTION'!$F:$F,'BY INTERVENTION'!$B:$B,B84,'BY INTERVENTION'!$C:$C,C84,'BY INTERVENTION'!$AA:$AA,D84)</f>
        <v>0</v>
      </c>
      <c r="G84" s="15"/>
      <c r="H84" s="15"/>
      <c r="I84" s="15"/>
      <c r="J84" s="16" t="s">
        <v>64</v>
      </c>
    </row>
    <row r="85" spans="1:10">
      <c r="A85" s="12" t="s">
        <v>25</v>
      </c>
      <c r="B85" s="12" t="s">
        <v>61</v>
      </c>
      <c r="C85" s="13" t="s">
        <v>168</v>
      </c>
      <c r="D85" s="12" t="s">
        <v>533</v>
      </c>
      <c r="E85" s="19">
        <f>SUMIFS('BY INTERVENTION'!$E:$E,'BY INTERVENTION'!$B:$B,B85,'BY INTERVENTION'!$C:$C,C85,'BY INTERVENTION'!$AA:$AA,D85)</f>
        <v>2947.58</v>
      </c>
      <c r="F85" s="20">
        <f>SUMIFS('BY INTERVENTION'!$F:$F,'BY INTERVENTION'!$B:$B,B85,'BY INTERVENTION'!$C:$C,C85,'BY INTERVENTION'!$AA:$AA,D85)</f>
        <v>0</v>
      </c>
      <c r="G85" s="15"/>
      <c r="H85" s="15"/>
      <c r="I85" s="15"/>
      <c r="J85" s="16" t="s">
        <v>166</v>
      </c>
    </row>
    <row r="86" spans="1:10">
      <c r="A86" s="12" t="s">
        <v>25</v>
      </c>
      <c r="B86" s="12" t="s">
        <v>61</v>
      </c>
      <c r="C86" s="13" t="s">
        <v>182</v>
      </c>
      <c r="D86" s="12" t="s">
        <v>530</v>
      </c>
      <c r="E86" s="19">
        <f>SUMIFS('BY INTERVENTION'!$E:$E,'BY INTERVENTION'!$B:$B,B86,'BY INTERVENTION'!$C:$C,C86,'BY INTERVENTION'!$AA:$AA,D86)</f>
        <v>4250</v>
      </c>
      <c r="F86" s="20">
        <f>SUMIFS('BY INTERVENTION'!$F:$F,'BY INTERVENTION'!$B:$B,B86,'BY INTERVENTION'!$C:$C,C86,'BY INTERVENTION'!$AA:$AA,D86)</f>
        <v>3000</v>
      </c>
      <c r="G86" s="15"/>
      <c r="H86" s="15"/>
      <c r="I86" s="15"/>
      <c r="J86" s="16" t="s">
        <v>75</v>
      </c>
    </row>
    <row r="87" spans="1:10">
      <c r="A87" s="12" t="s">
        <v>25</v>
      </c>
      <c r="B87" s="12" t="s">
        <v>61</v>
      </c>
      <c r="C87" s="13" t="s">
        <v>182</v>
      </c>
      <c r="D87" s="12" t="s">
        <v>522</v>
      </c>
      <c r="E87" s="19">
        <f>SUMIFS('BY INTERVENTION'!$E:$E,'BY INTERVENTION'!$B:$B,B87,'BY INTERVENTION'!$C:$C,C87,'BY INTERVENTION'!$AA:$AA,D87)</f>
        <v>27511.7165</v>
      </c>
      <c r="F87" s="20">
        <f>SUMIFS('BY INTERVENTION'!$F:$F,'BY INTERVENTION'!$B:$B,B87,'BY INTERVENTION'!$C:$C,C87,'BY INTERVENTION'!$AA:$AA,D87)</f>
        <v>584.041</v>
      </c>
      <c r="G87" s="15"/>
      <c r="H87" s="15"/>
      <c r="I87" s="15"/>
      <c r="J87" s="16" t="s">
        <v>64</v>
      </c>
    </row>
    <row r="88" spans="1:10">
      <c r="A88" s="12" t="s">
        <v>25</v>
      </c>
      <c r="B88" s="12" t="s">
        <v>61</v>
      </c>
      <c r="C88" s="13" t="s">
        <v>183</v>
      </c>
      <c r="D88" s="12" t="s">
        <v>530</v>
      </c>
      <c r="E88" s="19">
        <f>SUMIFS('BY INTERVENTION'!$E:$E,'BY INTERVENTION'!$B:$B,B88,'BY INTERVENTION'!$C:$C,C88,'BY INTERVENTION'!$AA:$AA,D88)</f>
        <v>9400</v>
      </c>
      <c r="F88" s="20">
        <f>SUMIFS('BY INTERVENTION'!$F:$F,'BY INTERVENTION'!$B:$B,B88,'BY INTERVENTION'!$C:$C,C88,'BY INTERVENTION'!$AA:$AA,D88)</f>
        <v>0</v>
      </c>
      <c r="G88" s="15"/>
      <c r="H88" s="15"/>
      <c r="I88" s="15"/>
      <c r="J88" s="16" t="s">
        <v>96</v>
      </c>
    </row>
    <row r="89" ht="30" customHeight="1" spans="1:10">
      <c r="A89" s="12" t="s">
        <v>25</v>
      </c>
      <c r="B89" s="12" t="s">
        <v>61</v>
      </c>
      <c r="C89" s="13" t="s">
        <v>183</v>
      </c>
      <c r="D89" s="12" t="s">
        <v>520</v>
      </c>
      <c r="E89" s="19">
        <f>SUMIFS('BY INTERVENTION'!$E:$E,'BY INTERVENTION'!$B:$B,B89,'BY INTERVENTION'!$C:$C,C89,'BY INTERVENTION'!$AA:$AA,D89)</f>
        <v>1268.75</v>
      </c>
      <c r="F89" s="20">
        <f>SUMIFS('BY INTERVENTION'!$F:$F,'BY INTERVENTION'!$B:$B,B89,'BY INTERVENTION'!$C:$C,C89,'BY INTERVENTION'!$AA:$AA,D89)</f>
        <v>0</v>
      </c>
      <c r="G89" s="15"/>
      <c r="H89" s="15"/>
      <c r="I89" s="15"/>
      <c r="J89" s="16" t="s">
        <v>35</v>
      </c>
    </row>
    <row r="90" spans="1:10">
      <c r="A90" s="12" t="s">
        <v>25</v>
      </c>
      <c r="B90" s="12" t="s">
        <v>61</v>
      </c>
      <c r="C90" s="13" t="s">
        <v>183</v>
      </c>
      <c r="D90" s="12" t="s">
        <v>522</v>
      </c>
      <c r="E90" s="19">
        <f>SUMIFS('BY INTERVENTION'!$E:$E,'BY INTERVENTION'!$B:$B,B90,'BY INTERVENTION'!$C:$C,C90,'BY INTERVENTION'!$AA:$AA,D90)</f>
        <v>52933.487</v>
      </c>
      <c r="F90" s="20">
        <f>SUMIFS('BY INTERVENTION'!$F:$F,'BY INTERVENTION'!$B:$B,B90,'BY INTERVENTION'!$C:$C,C90,'BY INTERVENTION'!$AA:$AA,D90)</f>
        <v>0</v>
      </c>
      <c r="G90" s="15"/>
      <c r="H90" s="15"/>
      <c r="I90" s="15"/>
      <c r="J90" s="16" t="s">
        <v>64</v>
      </c>
    </row>
    <row r="91" spans="1:10">
      <c r="A91" s="12" t="s">
        <v>25</v>
      </c>
      <c r="B91" s="12" t="s">
        <v>61</v>
      </c>
      <c r="C91" s="13" t="s">
        <v>185</v>
      </c>
      <c r="D91" s="12" t="s">
        <v>530</v>
      </c>
      <c r="E91" s="19">
        <f>SUMIFS('BY INTERVENTION'!$E:$E,'BY INTERVENTION'!$B:$B,B91,'BY INTERVENTION'!$C:$C,C91,'BY INTERVENTION'!$AA:$AA,D91)</f>
        <v>35920</v>
      </c>
      <c r="F91" s="20">
        <f>SUMIFS('BY INTERVENTION'!$F:$F,'BY INTERVENTION'!$B:$B,B91,'BY INTERVENTION'!$C:$C,C91,'BY INTERVENTION'!$AA:$AA,D91)</f>
        <v>12160</v>
      </c>
      <c r="G91" s="15"/>
      <c r="H91" s="15"/>
      <c r="I91" s="15"/>
      <c r="J91" s="16" t="s">
        <v>75</v>
      </c>
    </row>
    <row r="92" spans="1:10">
      <c r="A92" s="12" t="s">
        <v>25</v>
      </c>
      <c r="B92" s="12" t="s">
        <v>61</v>
      </c>
      <c r="C92" s="13" t="s">
        <v>185</v>
      </c>
      <c r="D92" s="12" t="s">
        <v>519</v>
      </c>
      <c r="E92" s="19">
        <f>SUMIFS('BY INTERVENTION'!$E:$E,'BY INTERVENTION'!$B:$B,B92,'BY INTERVENTION'!$C:$C,C92,'BY INTERVENTION'!$AA:$AA,D92)</f>
        <v>15000</v>
      </c>
      <c r="F92" s="20">
        <f>SUMIFS('BY INTERVENTION'!$F:$F,'BY INTERVENTION'!$B:$B,B92,'BY INTERVENTION'!$C:$C,C92,'BY INTERVENTION'!$AA:$AA,D92)</f>
        <v>30000</v>
      </c>
      <c r="G92" s="15"/>
      <c r="H92" s="15"/>
      <c r="I92" s="15"/>
      <c r="J92" s="16" t="s">
        <v>29</v>
      </c>
    </row>
    <row r="93" spans="1:10">
      <c r="A93" s="12" t="s">
        <v>25</v>
      </c>
      <c r="B93" s="12" t="s">
        <v>61</v>
      </c>
      <c r="C93" s="13" t="s">
        <v>185</v>
      </c>
      <c r="D93" s="12" t="s">
        <v>522</v>
      </c>
      <c r="E93" s="19">
        <f>SUMIFS('BY INTERVENTION'!$E:$E,'BY INTERVENTION'!$B:$B,B93,'BY INTERVENTION'!$C:$C,C93,'BY INTERVENTION'!$AA:$AA,D93)</f>
        <v>57700.7427</v>
      </c>
      <c r="F93" s="20">
        <f>SUMIFS('BY INTERVENTION'!$F:$F,'BY INTERVENTION'!$B:$B,B93,'BY INTERVENTION'!$C:$C,C93,'BY INTERVENTION'!$AA:$AA,D93)</f>
        <v>1224.918</v>
      </c>
      <c r="G93" s="15"/>
      <c r="H93" s="15"/>
      <c r="I93" s="15"/>
      <c r="J93" s="16" t="s">
        <v>64</v>
      </c>
    </row>
    <row r="94" spans="1:10">
      <c r="A94" s="12" t="s">
        <v>25</v>
      </c>
      <c r="B94" s="12" t="s">
        <v>61</v>
      </c>
      <c r="C94" s="13" t="s">
        <v>193</v>
      </c>
      <c r="D94" s="12" t="s">
        <v>530</v>
      </c>
      <c r="E94" s="19">
        <f>SUMIFS('BY INTERVENTION'!$E:$E,'BY INTERVENTION'!$B:$B,B94,'BY INTERVENTION'!$C:$C,C94,'BY INTERVENTION'!$AA:$AA,D94)</f>
        <v>0</v>
      </c>
      <c r="F94" s="20">
        <f>SUMIFS('BY INTERVENTION'!$F:$F,'BY INTERVENTION'!$B:$B,B94,'BY INTERVENTION'!$C:$C,C94,'BY INTERVENTION'!$AA:$AA,D94)</f>
        <v>0</v>
      </c>
      <c r="G94" s="15"/>
      <c r="H94" s="15"/>
      <c r="I94" s="15"/>
      <c r="J94" s="16" t="s">
        <v>75</v>
      </c>
    </row>
    <row r="95" spans="1:10">
      <c r="A95" s="12" t="s">
        <v>25</v>
      </c>
      <c r="B95" s="12" t="s">
        <v>61</v>
      </c>
      <c r="C95" s="13" t="s">
        <v>193</v>
      </c>
      <c r="D95" s="12" t="s">
        <v>519</v>
      </c>
      <c r="E95" s="19">
        <f>SUMIFS('BY INTERVENTION'!$E:$E,'BY INTERVENTION'!$B:$B,B95,'BY INTERVENTION'!$C:$C,C95,'BY INTERVENTION'!$AA:$AA,D95)</f>
        <v>0</v>
      </c>
      <c r="F95" s="20">
        <f>SUMIFS('BY INTERVENTION'!$F:$F,'BY INTERVENTION'!$B:$B,B95,'BY INTERVENTION'!$C:$C,C95,'BY INTERVENTION'!$AA:$AA,D95)</f>
        <v>15000</v>
      </c>
      <c r="G95" s="15"/>
      <c r="H95" s="15"/>
      <c r="I95" s="15"/>
      <c r="J95" s="16" t="s">
        <v>29</v>
      </c>
    </row>
    <row r="96" ht="30" customHeight="1" spans="1:10">
      <c r="A96" s="12" t="s">
        <v>25</v>
      </c>
      <c r="B96" s="12" t="s">
        <v>61</v>
      </c>
      <c r="C96" s="13" t="s">
        <v>193</v>
      </c>
      <c r="D96" s="12" t="s">
        <v>520</v>
      </c>
      <c r="E96" s="19">
        <f>SUMIFS('BY INTERVENTION'!$E:$E,'BY INTERVENTION'!$B:$B,B96,'BY INTERVENTION'!$C:$C,C96,'BY INTERVENTION'!$AA:$AA,D96)</f>
        <v>2000</v>
      </c>
      <c r="F96" s="20">
        <f>SUMIFS('BY INTERVENTION'!$F:$F,'BY INTERVENTION'!$B:$B,B96,'BY INTERVENTION'!$C:$C,C96,'BY INTERVENTION'!$AA:$AA,D96)</f>
        <v>0</v>
      </c>
      <c r="G96" s="15"/>
      <c r="H96" s="15"/>
      <c r="I96" s="15"/>
      <c r="J96" s="16" t="s">
        <v>35</v>
      </c>
    </row>
    <row r="97" spans="1:10">
      <c r="A97" s="12" t="s">
        <v>25</v>
      </c>
      <c r="B97" s="12" t="s">
        <v>61</v>
      </c>
      <c r="C97" s="13" t="s">
        <v>193</v>
      </c>
      <c r="D97" s="12" t="s">
        <v>522</v>
      </c>
      <c r="E97" s="19">
        <f>SUMIFS('BY INTERVENTION'!$E:$E,'BY INTERVENTION'!$B:$B,B97,'BY INTERVENTION'!$C:$C,C97,'BY INTERVENTION'!$AA:$AA,D97)</f>
        <v>45606.2272</v>
      </c>
      <c r="F97" s="20">
        <f>SUMIFS('BY INTERVENTION'!$F:$F,'BY INTERVENTION'!$B:$B,B97,'BY INTERVENTION'!$C:$C,C97,'BY INTERVENTION'!$AA:$AA,D97)</f>
        <v>968.1659</v>
      </c>
      <c r="G97" s="15"/>
      <c r="H97" s="15"/>
      <c r="I97" s="15"/>
      <c r="J97" s="16" t="s">
        <v>64</v>
      </c>
    </row>
    <row r="98" ht="30" customHeight="1" spans="1:10">
      <c r="A98" s="12" t="s">
        <v>25</v>
      </c>
      <c r="B98" s="12" t="s">
        <v>61</v>
      </c>
      <c r="C98" s="13" t="s">
        <v>193</v>
      </c>
      <c r="D98" s="12" t="s">
        <v>534</v>
      </c>
      <c r="E98" s="19">
        <f>SUMIFS('BY INTERVENTION'!$E:$E,'BY INTERVENTION'!$B:$B,B98,'BY INTERVENTION'!$C:$C,C98,'BY INTERVENTION'!$AA:$AA,D98)</f>
        <v>4360</v>
      </c>
      <c r="F98" s="20">
        <f>SUMIFS('BY INTERVENTION'!$F:$F,'BY INTERVENTION'!$B:$B,B98,'BY INTERVENTION'!$C:$C,C98,'BY INTERVENTION'!$AA:$AA,D98)</f>
        <v>0</v>
      </c>
      <c r="G98" s="15"/>
      <c r="H98" s="15"/>
      <c r="I98" s="15"/>
      <c r="J98" s="16" t="s">
        <v>196</v>
      </c>
    </row>
    <row r="99" spans="1:10">
      <c r="A99" s="12" t="s">
        <v>25</v>
      </c>
      <c r="B99" s="12" t="s">
        <v>61</v>
      </c>
      <c r="C99" s="13" t="s">
        <v>199</v>
      </c>
      <c r="D99" s="12" t="s">
        <v>530</v>
      </c>
      <c r="E99" s="19">
        <f>SUMIFS('BY INTERVENTION'!$E:$E,'BY INTERVENTION'!$B:$B,B99,'BY INTERVENTION'!$C:$C,C99,'BY INTERVENTION'!$AA:$AA,D99)</f>
        <v>3200</v>
      </c>
      <c r="F99" s="20">
        <f>SUMIFS('BY INTERVENTION'!$F:$F,'BY INTERVENTION'!$B:$B,B99,'BY INTERVENTION'!$C:$C,C99,'BY INTERVENTION'!$AA:$AA,D99)</f>
        <v>0</v>
      </c>
      <c r="G99" s="15"/>
      <c r="H99" s="15"/>
      <c r="I99" s="15"/>
      <c r="J99" s="16" t="s">
        <v>96</v>
      </c>
    </row>
    <row r="100" spans="1:10">
      <c r="A100" s="12" t="s">
        <v>25</v>
      </c>
      <c r="B100" s="12" t="s">
        <v>61</v>
      </c>
      <c r="C100" s="13" t="s">
        <v>199</v>
      </c>
      <c r="D100" s="12" t="s">
        <v>519</v>
      </c>
      <c r="E100" s="19">
        <f>SUMIFS('BY INTERVENTION'!$E:$E,'BY INTERVENTION'!$B:$B,B100,'BY INTERVENTION'!$C:$C,C100,'BY INTERVENTION'!$AA:$AA,D100)</f>
        <v>30000</v>
      </c>
      <c r="F100" s="20">
        <f>SUMIFS('BY INTERVENTION'!$F:$F,'BY INTERVENTION'!$B:$B,B100,'BY INTERVENTION'!$C:$C,C100,'BY INTERVENTION'!$AA:$AA,D100)</f>
        <v>0</v>
      </c>
      <c r="G100" s="15"/>
      <c r="H100" s="15"/>
      <c r="I100" s="15"/>
      <c r="J100" s="16" t="s">
        <v>29</v>
      </c>
    </row>
    <row r="101" ht="30" customHeight="1" spans="1:10">
      <c r="A101" s="12" t="s">
        <v>25</v>
      </c>
      <c r="B101" s="12" t="s">
        <v>61</v>
      </c>
      <c r="C101" s="13" t="s">
        <v>199</v>
      </c>
      <c r="D101" s="12" t="s">
        <v>520</v>
      </c>
      <c r="E101" s="19">
        <f>SUMIFS('BY INTERVENTION'!$E:$E,'BY INTERVENTION'!$B:$B,B101,'BY INTERVENTION'!$C:$C,C101,'BY INTERVENTION'!$AA:$AA,D101)</f>
        <v>3375</v>
      </c>
      <c r="F101" s="20">
        <f>SUMIFS('BY INTERVENTION'!$F:$F,'BY INTERVENTION'!$B:$B,B101,'BY INTERVENTION'!$C:$C,C101,'BY INTERVENTION'!$AA:$AA,D101)</f>
        <v>0</v>
      </c>
      <c r="G101" s="15"/>
      <c r="H101" s="15"/>
      <c r="I101" s="15"/>
      <c r="J101" s="16" t="s">
        <v>35</v>
      </c>
    </row>
    <row r="102" ht="45" customHeight="1" spans="1:10">
      <c r="A102" s="12" t="s">
        <v>25</v>
      </c>
      <c r="B102" s="12" t="s">
        <v>61</v>
      </c>
      <c r="C102" s="13" t="s">
        <v>199</v>
      </c>
      <c r="D102" s="12" t="s">
        <v>532</v>
      </c>
      <c r="E102" s="19">
        <f>SUMIFS('BY INTERVENTION'!$E:$E,'BY INTERVENTION'!$B:$B,B102,'BY INTERVENTION'!$C:$C,C102,'BY INTERVENTION'!$AA:$AA,D102)</f>
        <v>3750</v>
      </c>
      <c r="F102" s="20">
        <f>SUMIFS('BY INTERVENTION'!$F:$F,'BY INTERVENTION'!$B:$B,B102,'BY INTERVENTION'!$C:$C,C102,'BY INTERVENTION'!$AA:$AA,D102)</f>
        <v>0</v>
      </c>
      <c r="G102" s="15"/>
      <c r="H102" s="15"/>
      <c r="I102" s="15"/>
      <c r="J102" s="16" t="s">
        <v>134</v>
      </c>
    </row>
    <row r="103" spans="1:10">
      <c r="A103" s="12" t="s">
        <v>25</v>
      </c>
      <c r="B103" s="12" t="s">
        <v>61</v>
      </c>
      <c r="C103" s="13" t="s">
        <v>199</v>
      </c>
      <c r="D103" s="12" t="s">
        <v>522</v>
      </c>
      <c r="E103" s="19">
        <f>SUMIFS('BY INTERVENTION'!$E:$E,'BY INTERVENTION'!$B:$B,B103,'BY INTERVENTION'!$C:$C,C103,'BY INTERVENTION'!$AA:$AA,D103)</f>
        <v>22641.2661</v>
      </c>
      <c r="F103" s="20">
        <f>SUMIFS('BY INTERVENTION'!$F:$F,'BY INTERVENTION'!$B:$B,B103,'BY INTERVENTION'!$C:$C,C103,'BY INTERVENTION'!$AA:$AA,D103)</f>
        <v>480.6471</v>
      </c>
      <c r="G103" s="15"/>
      <c r="H103" s="15"/>
      <c r="I103" s="15"/>
      <c r="J103" s="16" t="s">
        <v>64</v>
      </c>
    </row>
    <row r="104" spans="1:10">
      <c r="A104" s="12" t="s">
        <v>25</v>
      </c>
      <c r="B104" s="12" t="s">
        <v>61</v>
      </c>
      <c r="C104" s="13" t="s">
        <v>203</v>
      </c>
      <c r="D104" s="12" t="s">
        <v>530</v>
      </c>
      <c r="E104" s="19">
        <f>SUMIFS('BY INTERVENTION'!$E:$E,'BY INTERVENTION'!$B:$B,B104,'BY INTERVENTION'!$C:$C,C104,'BY INTERVENTION'!$AA:$AA,D104)</f>
        <v>7160</v>
      </c>
      <c r="F104" s="20">
        <f>SUMIFS('BY INTERVENTION'!$F:$F,'BY INTERVENTION'!$B:$B,B104,'BY INTERVENTION'!$C:$C,C104,'BY INTERVENTION'!$AA:$AA,D104)</f>
        <v>2160</v>
      </c>
      <c r="G104" s="15"/>
      <c r="H104" s="15"/>
      <c r="I104" s="15"/>
      <c r="J104" s="16" t="s">
        <v>75</v>
      </c>
    </row>
    <row r="105" spans="1:10">
      <c r="A105" s="12" t="s">
        <v>25</v>
      </c>
      <c r="B105" s="12" t="s">
        <v>61</v>
      </c>
      <c r="C105" s="13" t="s">
        <v>203</v>
      </c>
      <c r="D105" s="12" t="s">
        <v>519</v>
      </c>
      <c r="E105" s="19">
        <f>SUMIFS('BY INTERVENTION'!$E:$E,'BY INTERVENTION'!$B:$B,B105,'BY INTERVENTION'!$C:$C,C105,'BY INTERVENTION'!$AA:$AA,D105)</f>
        <v>0</v>
      </c>
      <c r="F105" s="20">
        <f>SUMIFS('BY INTERVENTION'!$F:$F,'BY INTERVENTION'!$B:$B,B105,'BY INTERVENTION'!$C:$C,C105,'BY INTERVENTION'!$AA:$AA,D105)</f>
        <v>15000</v>
      </c>
      <c r="G105" s="15"/>
      <c r="H105" s="15"/>
      <c r="I105" s="15"/>
      <c r="J105" s="16" t="s">
        <v>29</v>
      </c>
    </row>
    <row r="106" ht="30" customHeight="1" spans="1:10">
      <c r="A106" s="12" t="s">
        <v>25</v>
      </c>
      <c r="B106" s="12" t="s">
        <v>61</v>
      </c>
      <c r="C106" s="13" t="s">
        <v>203</v>
      </c>
      <c r="D106" s="12" t="s">
        <v>520</v>
      </c>
      <c r="E106" s="19">
        <f>SUMIFS('BY INTERVENTION'!$E:$E,'BY INTERVENTION'!$B:$B,B106,'BY INTERVENTION'!$C:$C,C106,'BY INTERVENTION'!$AA:$AA,D106)</f>
        <v>2866.93785</v>
      </c>
      <c r="F106" s="20">
        <f>SUMIFS('BY INTERVENTION'!$F:$F,'BY INTERVENTION'!$B:$B,B106,'BY INTERVENTION'!$C:$C,C106,'BY INTERVENTION'!$AA:$AA,D106)</f>
        <v>0</v>
      </c>
      <c r="G106" s="15"/>
      <c r="H106" s="15"/>
      <c r="I106" s="15"/>
      <c r="J106" s="16" t="s">
        <v>35</v>
      </c>
    </row>
    <row r="107" spans="1:10">
      <c r="A107" s="12" t="s">
        <v>25</v>
      </c>
      <c r="B107" s="12" t="s">
        <v>61</v>
      </c>
      <c r="C107" s="13" t="s">
        <v>203</v>
      </c>
      <c r="D107" s="12" t="s">
        <v>522</v>
      </c>
      <c r="E107" s="19">
        <f>SUMIFS('BY INTERVENTION'!$E:$E,'BY INTERVENTION'!$B:$B,B107,'BY INTERVENTION'!$C:$C,C107,'BY INTERVENTION'!$AA:$AA,D107)</f>
        <v>27551.4686</v>
      </c>
      <c r="F107" s="20">
        <f>SUMIFS('BY INTERVENTION'!$F:$F,'BY INTERVENTION'!$B:$B,B107,'BY INTERVENTION'!$C:$C,C107,'BY INTERVENTION'!$AA:$AA,D107)</f>
        <v>584.8848</v>
      </c>
      <c r="G107" s="15"/>
      <c r="H107" s="15"/>
      <c r="I107" s="15"/>
      <c r="J107" s="16" t="s">
        <v>64</v>
      </c>
    </row>
    <row r="108" spans="1:10">
      <c r="A108" s="12" t="s">
        <v>25</v>
      </c>
      <c r="B108" s="12" t="s">
        <v>61</v>
      </c>
      <c r="C108" s="13" t="s">
        <v>206</v>
      </c>
      <c r="D108" s="12" t="s">
        <v>530</v>
      </c>
      <c r="E108" s="19">
        <f>SUMIFS('BY INTERVENTION'!$E:$E,'BY INTERVENTION'!$B:$B,B108,'BY INTERVENTION'!$C:$C,C108,'BY INTERVENTION'!$AA:$AA,D108)</f>
        <v>5600</v>
      </c>
      <c r="F108" s="20">
        <f>SUMIFS('BY INTERVENTION'!$F:$F,'BY INTERVENTION'!$B:$B,B108,'BY INTERVENTION'!$C:$C,C108,'BY INTERVENTION'!$AA:$AA,D108)</f>
        <v>0</v>
      </c>
      <c r="G108" s="15"/>
      <c r="H108" s="15"/>
      <c r="I108" s="15"/>
      <c r="J108" s="16" t="s">
        <v>96</v>
      </c>
    </row>
    <row r="109" spans="1:10">
      <c r="A109" s="12" t="s">
        <v>25</v>
      </c>
      <c r="B109" s="12" t="s">
        <v>61</v>
      </c>
      <c r="C109" s="13" t="s">
        <v>206</v>
      </c>
      <c r="D109" s="12" t="s">
        <v>519</v>
      </c>
      <c r="E109" s="19">
        <f>SUMIFS('BY INTERVENTION'!$E:$E,'BY INTERVENTION'!$B:$B,B109,'BY INTERVENTION'!$C:$C,C109,'BY INTERVENTION'!$AA:$AA,D109)</f>
        <v>17000</v>
      </c>
      <c r="F109" s="20">
        <f>SUMIFS('BY INTERVENTION'!$F:$F,'BY INTERVENTION'!$B:$B,B109,'BY INTERVENTION'!$C:$C,C109,'BY INTERVENTION'!$AA:$AA,D109)</f>
        <v>0</v>
      </c>
      <c r="G109" s="15"/>
      <c r="H109" s="15"/>
      <c r="I109" s="15"/>
      <c r="J109" s="16" t="s">
        <v>29</v>
      </c>
    </row>
    <row r="110" spans="1:10">
      <c r="A110" s="12" t="s">
        <v>25</v>
      </c>
      <c r="B110" s="12" t="s">
        <v>61</v>
      </c>
      <c r="C110" s="13" t="s">
        <v>206</v>
      </c>
      <c r="D110" s="12" t="s">
        <v>522</v>
      </c>
      <c r="E110" s="19">
        <f>SUMIFS('BY INTERVENTION'!$E:$E,'BY INTERVENTION'!$B:$B,B110,'BY INTERVENTION'!$C:$C,C110,'BY INTERVENTION'!$AA:$AA,D110)</f>
        <v>17290.37</v>
      </c>
      <c r="F110" s="20">
        <f>SUMIFS('BY INTERVENTION'!$F:$F,'BY INTERVENTION'!$B:$B,B110,'BY INTERVENTION'!$C:$C,C110,'BY INTERVENTION'!$AA:$AA,D110)</f>
        <v>318.2277</v>
      </c>
      <c r="G110" s="15"/>
      <c r="H110" s="15"/>
      <c r="I110" s="15"/>
      <c r="J110" s="16" t="s">
        <v>64</v>
      </c>
    </row>
    <row r="111" spans="1:10">
      <c r="A111" s="12" t="s">
        <v>25</v>
      </c>
      <c r="B111" s="12" t="s">
        <v>61</v>
      </c>
      <c r="C111" s="13" t="s">
        <v>206</v>
      </c>
      <c r="D111" s="12" t="s">
        <v>521</v>
      </c>
      <c r="E111" s="19">
        <f>SUMIFS('BY INTERVENTION'!$E:$E,'BY INTERVENTION'!$B:$B,B111,'BY INTERVENTION'!$C:$C,C111,'BY INTERVENTION'!$AA:$AA,D111)</f>
        <v>14072</v>
      </c>
      <c r="F111" s="20">
        <f>SUMIFS('BY INTERVENTION'!$F:$F,'BY INTERVENTION'!$B:$B,B111,'BY INTERVENTION'!$C:$C,C111,'BY INTERVENTION'!$AA:$AA,D111)</f>
        <v>0</v>
      </c>
      <c r="G111" s="15"/>
      <c r="H111" s="15"/>
      <c r="I111" s="15"/>
      <c r="J111" s="16" t="s">
        <v>33</v>
      </c>
    </row>
    <row r="112" spans="1:10">
      <c r="A112" s="12" t="s">
        <v>25</v>
      </c>
      <c r="B112" s="12" t="s">
        <v>61</v>
      </c>
      <c r="C112" s="13" t="s">
        <v>210</v>
      </c>
      <c r="D112" s="12" t="s">
        <v>519</v>
      </c>
      <c r="E112" s="19">
        <f>SUMIFS('BY INTERVENTION'!$E:$E,'BY INTERVENTION'!$B:$B,B112,'BY INTERVENTION'!$C:$C,C112,'BY INTERVENTION'!$AA:$AA,D112)</f>
        <v>0</v>
      </c>
      <c r="F112" s="20">
        <f>SUMIFS('BY INTERVENTION'!$F:$F,'BY INTERVENTION'!$B:$B,B112,'BY INTERVENTION'!$C:$C,C112,'BY INTERVENTION'!$AA:$AA,D112)</f>
        <v>27750</v>
      </c>
      <c r="G112" s="15"/>
      <c r="H112" s="15"/>
      <c r="I112" s="15"/>
      <c r="J112" s="16" t="s">
        <v>29</v>
      </c>
    </row>
    <row r="113" spans="1:10">
      <c r="A113" s="12" t="s">
        <v>25</v>
      </c>
      <c r="B113" s="12" t="s">
        <v>61</v>
      </c>
      <c r="C113" s="13" t="s">
        <v>210</v>
      </c>
      <c r="D113" s="12" t="s">
        <v>522</v>
      </c>
      <c r="E113" s="19">
        <f>SUMIFS('BY INTERVENTION'!$E:$E,'BY INTERVENTION'!$B:$B,B113,'BY INTERVENTION'!$C:$C,C113,'BY INTERVENTION'!$AA:$AA,D113)</f>
        <v>20700</v>
      </c>
      <c r="F113" s="20">
        <f>SUMIFS('BY INTERVENTION'!$F:$F,'BY INTERVENTION'!$B:$B,B113,'BY INTERVENTION'!$C:$C,C113,'BY INTERVENTION'!$AA:$AA,D113)</f>
        <v>0</v>
      </c>
      <c r="G113" s="15"/>
      <c r="H113" s="15"/>
      <c r="I113" s="15"/>
      <c r="J113" s="16" t="s">
        <v>67</v>
      </c>
    </row>
    <row r="114" spans="1:10">
      <c r="A114" s="12" t="s">
        <v>25</v>
      </c>
      <c r="B114" s="12" t="s">
        <v>61</v>
      </c>
      <c r="C114" s="13" t="s">
        <v>210</v>
      </c>
      <c r="D114" s="12" t="s">
        <v>533</v>
      </c>
      <c r="E114" s="19">
        <f>SUMIFS('BY INTERVENTION'!$E:$E,'BY INTERVENTION'!$B:$B,B114,'BY INTERVENTION'!$C:$C,C114,'BY INTERVENTION'!$AA:$AA,D114)</f>
        <v>804.508</v>
      </c>
      <c r="F114" s="20">
        <f>SUMIFS('BY INTERVENTION'!$F:$F,'BY INTERVENTION'!$B:$B,B114,'BY INTERVENTION'!$C:$C,C114,'BY INTERVENTION'!$AA:$AA,D114)</f>
        <v>0</v>
      </c>
      <c r="G114" s="15"/>
      <c r="H114" s="15"/>
      <c r="I114" s="15"/>
      <c r="J114" s="16" t="s">
        <v>166</v>
      </c>
    </row>
    <row r="115" spans="1:10">
      <c r="A115" s="12" t="s">
        <v>25</v>
      </c>
      <c r="B115" s="12" t="s">
        <v>61</v>
      </c>
      <c r="C115" s="13" t="s">
        <v>214</v>
      </c>
      <c r="D115" s="12" t="s">
        <v>519</v>
      </c>
      <c r="E115" s="19">
        <f>SUMIFS('BY INTERVENTION'!$E:$E,'BY INTERVENTION'!$B:$B,B115,'BY INTERVENTION'!$C:$C,C115,'BY INTERVENTION'!$AA:$AA,D115)</f>
        <v>52500</v>
      </c>
      <c r="F115" s="20">
        <f>SUMIFS('BY INTERVENTION'!$F:$F,'BY INTERVENTION'!$B:$B,B115,'BY INTERVENTION'!$C:$C,C115,'BY INTERVENTION'!$AA:$AA,D115)</f>
        <v>87600</v>
      </c>
      <c r="G115" s="15"/>
      <c r="H115" s="15"/>
      <c r="I115" s="15"/>
      <c r="J115" s="16" t="s">
        <v>29</v>
      </c>
    </row>
    <row r="116" spans="1:10">
      <c r="A116" s="12" t="s">
        <v>25</v>
      </c>
      <c r="B116" s="12" t="s">
        <v>61</v>
      </c>
      <c r="C116" s="13" t="s">
        <v>214</v>
      </c>
      <c r="D116" s="12" t="s">
        <v>522</v>
      </c>
      <c r="E116" s="19">
        <f>SUMIFS('BY INTERVENTION'!$E:$E,'BY INTERVENTION'!$B:$B,B116,'BY INTERVENTION'!$C:$C,C116,'BY INTERVENTION'!$AA:$AA,D116)</f>
        <v>51007.0563</v>
      </c>
      <c r="F116" s="20">
        <f>SUMIFS('BY INTERVENTION'!$F:$F,'BY INTERVENTION'!$B:$B,B116,'BY INTERVENTION'!$C:$C,C116,'BY INTERVENTION'!$AA:$AA,D116)</f>
        <v>0</v>
      </c>
      <c r="G116" s="15"/>
      <c r="H116" s="15"/>
      <c r="I116" s="15"/>
      <c r="J116" s="16" t="s">
        <v>64</v>
      </c>
    </row>
    <row r="117" spans="1:10">
      <c r="A117" s="12" t="s">
        <v>25</v>
      </c>
      <c r="B117" s="12" t="s">
        <v>61</v>
      </c>
      <c r="C117" s="13" t="s">
        <v>219</v>
      </c>
      <c r="D117" s="12" t="s">
        <v>522</v>
      </c>
      <c r="E117" s="19">
        <f>SUMIFS('BY INTERVENTION'!$E:$E,'BY INTERVENTION'!$B:$B,B117,'BY INTERVENTION'!$C:$C,C117,'BY INTERVENTION'!$AA:$AA,D117)</f>
        <v>6224.768</v>
      </c>
      <c r="F117" s="20">
        <f>SUMIFS('BY INTERVENTION'!$F:$F,'BY INTERVENTION'!$B:$B,B117,'BY INTERVENTION'!$C:$C,C117,'BY INTERVENTION'!$AA:$AA,D117)</f>
        <v>132.1444</v>
      </c>
      <c r="G117" s="15"/>
      <c r="H117" s="15"/>
      <c r="I117" s="15"/>
      <c r="J117" s="16" t="s">
        <v>64</v>
      </c>
    </row>
    <row r="118" spans="1:10">
      <c r="A118" s="12" t="s">
        <v>25</v>
      </c>
      <c r="B118" s="12" t="s">
        <v>61</v>
      </c>
      <c r="C118" s="13" t="s">
        <v>219</v>
      </c>
      <c r="D118" s="12" t="s">
        <v>521</v>
      </c>
      <c r="E118" s="19">
        <f>SUMIFS('BY INTERVENTION'!$E:$E,'BY INTERVENTION'!$B:$B,B118,'BY INTERVENTION'!$C:$C,C118,'BY INTERVENTION'!$AA:$AA,D118)</f>
        <v>13447</v>
      </c>
      <c r="F118" s="20">
        <f>SUMIFS('BY INTERVENTION'!$F:$F,'BY INTERVENTION'!$B:$B,B118,'BY INTERVENTION'!$C:$C,C118,'BY INTERVENTION'!$AA:$AA,D118)</f>
        <v>0</v>
      </c>
      <c r="G118" s="15"/>
      <c r="H118" s="15"/>
      <c r="I118" s="15"/>
      <c r="J118" s="16" t="s">
        <v>33</v>
      </c>
    </row>
    <row r="119" spans="1:10">
      <c r="A119" s="12" t="s">
        <v>25</v>
      </c>
      <c r="B119" s="12" t="s">
        <v>61</v>
      </c>
      <c r="C119" s="13" t="s">
        <v>221</v>
      </c>
      <c r="D119" s="12" t="s">
        <v>530</v>
      </c>
      <c r="E119" s="19">
        <f>SUMIFS('BY INTERVENTION'!$E:$E,'BY INTERVENTION'!$B:$B,B119,'BY INTERVENTION'!$C:$C,C119,'BY INTERVENTION'!$AA:$AA,D119)</f>
        <v>0</v>
      </c>
      <c r="F119" s="20">
        <f>SUMIFS('BY INTERVENTION'!$F:$F,'BY INTERVENTION'!$B:$B,B119,'BY INTERVENTION'!$C:$C,C119,'BY INTERVENTION'!$AA:$AA,D119)</f>
        <v>0</v>
      </c>
      <c r="G119" s="15"/>
      <c r="H119" s="15"/>
      <c r="I119" s="15"/>
      <c r="J119" s="16" t="s">
        <v>75</v>
      </c>
    </row>
    <row r="120" spans="1:10">
      <c r="A120" s="12" t="s">
        <v>25</v>
      </c>
      <c r="B120" s="12" t="s">
        <v>61</v>
      </c>
      <c r="C120" s="13" t="s">
        <v>221</v>
      </c>
      <c r="D120" s="12" t="s">
        <v>519</v>
      </c>
      <c r="E120" s="19">
        <f>SUMIFS('BY INTERVENTION'!$E:$E,'BY INTERVENTION'!$B:$B,B120,'BY INTERVENTION'!$C:$C,C120,'BY INTERVENTION'!$AA:$AA,D120)</f>
        <v>0</v>
      </c>
      <c r="F120" s="20">
        <f>SUMIFS('BY INTERVENTION'!$F:$F,'BY INTERVENTION'!$B:$B,B120,'BY INTERVENTION'!$C:$C,C120,'BY INTERVENTION'!$AA:$AA,D120)</f>
        <v>26100</v>
      </c>
      <c r="G120" s="15"/>
      <c r="H120" s="15"/>
      <c r="I120" s="15"/>
      <c r="J120" s="16" t="s">
        <v>29</v>
      </c>
    </row>
    <row r="121" spans="1:10">
      <c r="A121" s="12" t="s">
        <v>25</v>
      </c>
      <c r="B121" s="12" t="s">
        <v>61</v>
      </c>
      <c r="C121" s="13" t="s">
        <v>221</v>
      </c>
      <c r="D121" s="12" t="s">
        <v>522</v>
      </c>
      <c r="E121" s="19">
        <f>SUMIFS('BY INTERVENTION'!$E:$E,'BY INTERVENTION'!$B:$B,B121,'BY INTERVENTION'!$C:$C,C121,'BY INTERVENTION'!$AA:$AA,D121)</f>
        <v>31100.4549</v>
      </c>
      <c r="F121" s="20">
        <f>SUMIFS('BY INTERVENTION'!$F:$F,'BY INTERVENTION'!$B:$B,B121,'BY INTERVENTION'!$C:$C,C121,'BY INTERVENTION'!$AA:$AA,D121)</f>
        <v>0</v>
      </c>
      <c r="G121" s="15"/>
      <c r="H121" s="15"/>
      <c r="I121" s="15"/>
      <c r="J121" s="16" t="s">
        <v>64</v>
      </c>
    </row>
    <row r="122" spans="1:10">
      <c r="A122" s="12" t="s">
        <v>25</v>
      </c>
      <c r="B122" s="12" t="s">
        <v>61</v>
      </c>
      <c r="C122" s="13" t="s">
        <v>223</v>
      </c>
      <c r="D122" s="12" t="s">
        <v>530</v>
      </c>
      <c r="E122" s="19">
        <f>SUMIFS('BY INTERVENTION'!$E:$E,'BY INTERVENTION'!$B:$B,B122,'BY INTERVENTION'!$C:$C,C122,'BY INTERVENTION'!$AA:$AA,D122)</f>
        <v>8450</v>
      </c>
      <c r="F122" s="20">
        <f>SUMIFS('BY INTERVENTION'!$F:$F,'BY INTERVENTION'!$B:$B,B122,'BY INTERVENTION'!$C:$C,C122,'BY INTERVENTION'!$AA:$AA,D122)</f>
        <v>13250</v>
      </c>
      <c r="G122" s="15"/>
      <c r="H122" s="15"/>
      <c r="I122" s="15"/>
      <c r="J122" s="16" t="s">
        <v>96</v>
      </c>
    </row>
    <row r="123" spans="1:10">
      <c r="A123" s="12" t="s">
        <v>25</v>
      </c>
      <c r="B123" s="12" t="s">
        <v>61</v>
      </c>
      <c r="C123" s="13" t="s">
        <v>223</v>
      </c>
      <c r="D123" s="12" t="s">
        <v>519</v>
      </c>
      <c r="E123" s="19">
        <f>SUMIFS('BY INTERVENTION'!$E:$E,'BY INTERVENTION'!$B:$B,B123,'BY INTERVENTION'!$C:$C,C123,'BY INTERVENTION'!$AA:$AA,D123)</f>
        <v>45000</v>
      </c>
      <c r="F123" s="20">
        <f>SUMIFS('BY INTERVENTION'!$F:$F,'BY INTERVENTION'!$B:$B,B123,'BY INTERVENTION'!$C:$C,C123,'BY INTERVENTION'!$AA:$AA,D123)</f>
        <v>66225</v>
      </c>
      <c r="G123" s="15"/>
      <c r="H123" s="15"/>
      <c r="I123" s="15"/>
      <c r="J123" s="16" t="s">
        <v>29</v>
      </c>
    </row>
    <row r="124" ht="30" customHeight="1" spans="1:10">
      <c r="A124" s="12" t="s">
        <v>25</v>
      </c>
      <c r="B124" s="12" t="s">
        <v>61</v>
      </c>
      <c r="C124" s="13" t="s">
        <v>223</v>
      </c>
      <c r="D124" s="12" t="s">
        <v>520</v>
      </c>
      <c r="E124" s="19">
        <f>SUMIFS('BY INTERVENTION'!$E:$E,'BY INTERVENTION'!$B:$B,B124,'BY INTERVENTION'!$C:$C,C124,'BY INTERVENTION'!$AA:$AA,D124)</f>
        <v>6597.96</v>
      </c>
      <c r="F124" s="20">
        <f>SUMIFS('BY INTERVENTION'!$F:$F,'BY INTERVENTION'!$B:$B,B124,'BY INTERVENTION'!$C:$C,C124,'BY INTERVENTION'!$AA:$AA,D124)</f>
        <v>0</v>
      </c>
      <c r="G124" s="15"/>
      <c r="H124" s="15"/>
      <c r="I124" s="15"/>
      <c r="J124" s="16" t="s">
        <v>35</v>
      </c>
    </row>
    <row r="125" spans="1:10">
      <c r="A125" s="12" t="s">
        <v>25</v>
      </c>
      <c r="B125" s="12" t="s">
        <v>61</v>
      </c>
      <c r="C125" s="13" t="s">
        <v>223</v>
      </c>
      <c r="D125" s="12" t="s">
        <v>522</v>
      </c>
      <c r="E125" s="19">
        <f>SUMIFS('BY INTERVENTION'!$E:$E,'BY INTERVENTION'!$B:$B,B125,'BY INTERVENTION'!$C:$C,C125,'BY INTERVENTION'!$AA:$AA,D125)</f>
        <v>242265.5241</v>
      </c>
      <c r="F125" s="20">
        <f>SUMIFS('BY INTERVENTION'!$F:$F,'BY INTERVENTION'!$B:$B,B125,'BY INTERVENTION'!$C:$C,C125,'BY INTERVENTION'!$AA:$AA,D125)</f>
        <v>4124.0256</v>
      </c>
      <c r="G125" s="15"/>
      <c r="H125" s="15"/>
      <c r="I125" s="15"/>
      <c r="J125" s="16" t="s">
        <v>64</v>
      </c>
    </row>
    <row r="126" spans="1:10">
      <c r="A126" s="12" t="s">
        <v>25</v>
      </c>
      <c r="B126" s="12" t="s">
        <v>61</v>
      </c>
      <c r="C126" s="13" t="s">
        <v>228</v>
      </c>
      <c r="D126" s="12" t="s">
        <v>530</v>
      </c>
      <c r="E126" s="19">
        <f>SUMIFS('BY INTERVENTION'!$E:$E,'BY INTERVENTION'!$B:$B,B126,'BY INTERVENTION'!$C:$C,C126,'BY INTERVENTION'!$AA:$AA,D126)</f>
        <v>2310.83</v>
      </c>
      <c r="F126" s="20">
        <f>SUMIFS('BY INTERVENTION'!$F:$F,'BY INTERVENTION'!$B:$B,B126,'BY INTERVENTION'!$C:$C,C126,'BY INTERVENTION'!$AA:$AA,D126)</f>
        <v>0</v>
      </c>
      <c r="G126" s="15"/>
      <c r="H126" s="15"/>
      <c r="I126" s="15"/>
      <c r="J126" s="16" t="s">
        <v>96</v>
      </c>
    </row>
    <row r="127" spans="1:10">
      <c r="A127" s="12" t="s">
        <v>25</v>
      </c>
      <c r="B127" s="12" t="s">
        <v>61</v>
      </c>
      <c r="C127" s="13" t="s">
        <v>228</v>
      </c>
      <c r="D127" s="12" t="s">
        <v>519</v>
      </c>
      <c r="E127" s="19">
        <f>SUMIFS('BY INTERVENTION'!$E:$E,'BY INTERVENTION'!$B:$B,B127,'BY INTERVENTION'!$C:$C,C127,'BY INTERVENTION'!$AA:$AA,D127)</f>
        <v>43500</v>
      </c>
      <c r="F127" s="20">
        <f>SUMIFS('BY INTERVENTION'!$F:$F,'BY INTERVENTION'!$B:$B,B127,'BY INTERVENTION'!$C:$C,C127,'BY INTERVENTION'!$AA:$AA,D127)</f>
        <v>15000</v>
      </c>
      <c r="G127" s="15"/>
      <c r="H127" s="15"/>
      <c r="I127" s="15"/>
      <c r="J127" s="16" t="s">
        <v>29</v>
      </c>
    </row>
    <row r="128" ht="30" customHeight="1" spans="1:10">
      <c r="A128" s="12" t="s">
        <v>25</v>
      </c>
      <c r="B128" s="12" t="s">
        <v>61</v>
      </c>
      <c r="C128" s="13" t="s">
        <v>228</v>
      </c>
      <c r="D128" s="12" t="s">
        <v>520</v>
      </c>
      <c r="E128" s="19">
        <f>SUMIFS('BY INTERVENTION'!$E:$E,'BY INTERVENTION'!$B:$B,B128,'BY INTERVENTION'!$C:$C,C128,'BY INTERVENTION'!$AA:$AA,D128)</f>
        <v>1866.93785</v>
      </c>
      <c r="F128" s="20">
        <f>SUMIFS('BY INTERVENTION'!$F:$F,'BY INTERVENTION'!$B:$B,B128,'BY INTERVENTION'!$C:$C,C128,'BY INTERVENTION'!$AA:$AA,D128)</f>
        <v>0</v>
      </c>
      <c r="G128" s="15"/>
      <c r="H128" s="15"/>
      <c r="I128" s="15"/>
      <c r="J128" s="16" t="s">
        <v>35</v>
      </c>
    </row>
    <row r="129" ht="45" customHeight="1" spans="1:10">
      <c r="A129" s="12" t="s">
        <v>25</v>
      </c>
      <c r="B129" s="12" t="s">
        <v>61</v>
      </c>
      <c r="C129" s="13" t="s">
        <v>228</v>
      </c>
      <c r="D129" s="12" t="s">
        <v>531</v>
      </c>
      <c r="E129" s="19">
        <f>SUMIFS('BY INTERVENTION'!$E:$E,'BY INTERVENTION'!$B:$B,B129,'BY INTERVENTION'!$C:$C,C129,'BY INTERVENTION'!$AA:$AA,D129)</f>
        <v>2500</v>
      </c>
      <c r="F129" s="20">
        <f>SUMIFS('BY INTERVENTION'!$F:$F,'BY INTERVENTION'!$B:$B,B129,'BY INTERVENTION'!$C:$C,C129,'BY INTERVENTION'!$AA:$AA,D129)</f>
        <v>0</v>
      </c>
      <c r="G129" s="15"/>
      <c r="H129" s="15"/>
      <c r="I129" s="15"/>
      <c r="J129" s="16" t="s">
        <v>80</v>
      </c>
    </row>
    <row r="130" spans="1:10">
      <c r="A130" s="12" t="s">
        <v>25</v>
      </c>
      <c r="B130" s="12" t="s">
        <v>61</v>
      </c>
      <c r="C130" s="13" t="s">
        <v>231</v>
      </c>
      <c r="D130" s="12" t="s">
        <v>530</v>
      </c>
      <c r="E130" s="19">
        <f>SUMIFS('BY INTERVENTION'!$E:$E,'BY INTERVENTION'!$B:$B,B130,'BY INTERVENTION'!$C:$C,C130,'BY INTERVENTION'!$AA:$AA,D130)</f>
        <v>0</v>
      </c>
      <c r="F130" s="20">
        <f>SUMIFS('BY INTERVENTION'!$F:$F,'BY INTERVENTION'!$B:$B,B130,'BY INTERVENTION'!$C:$C,C130,'BY INTERVENTION'!$AA:$AA,D130)</f>
        <v>0</v>
      </c>
      <c r="G130" s="15"/>
      <c r="H130" s="15"/>
      <c r="I130" s="15"/>
      <c r="J130" s="16" t="s">
        <v>75</v>
      </c>
    </row>
    <row r="131" spans="1:10">
      <c r="A131" s="12" t="s">
        <v>25</v>
      </c>
      <c r="B131" s="12" t="s">
        <v>61</v>
      </c>
      <c r="C131" s="13" t="s">
        <v>231</v>
      </c>
      <c r="D131" s="12" t="s">
        <v>519</v>
      </c>
      <c r="E131" s="19">
        <f>SUMIFS('BY INTERVENTION'!$E:$E,'BY INTERVENTION'!$B:$B,B131,'BY INTERVENTION'!$C:$C,C131,'BY INTERVENTION'!$AA:$AA,D131)</f>
        <v>15000</v>
      </c>
      <c r="F131" s="20">
        <f>SUMIFS('BY INTERVENTION'!$F:$F,'BY INTERVENTION'!$B:$B,B131,'BY INTERVENTION'!$C:$C,C131,'BY INTERVENTION'!$AA:$AA,D131)</f>
        <v>0</v>
      </c>
      <c r="G131" s="15"/>
      <c r="H131" s="15"/>
      <c r="I131" s="15"/>
      <c r="J131" s="16" t="s">
        <v>29</v>
      </c>
    </row>
    <row r="132" spans="1:10">
      <c r="A132" s="12" t="s">
        <v>25</v>
      </c>
      <c r="B132" s="12" t="s">
        <v>61</v>
      </c>
      <c r="C132" s="13" t="s">
        <v>231</v>
      </c>
      <c r="D132" s="12" t="s">
        <v>522</v>
      </c>
      <c r="E132" s="19">
        <f>SUMIFS('BY INTERVENTION'!$E:$E,'BY INTERVENTION'!$B:$B,B132,'BY INTERVENTION'!$C:$C,C132,'BY INTERVENTION'!$AA:$AA,D132)</f>
        <v>122225.5647</v>
      </c>
      <c r="F132" s="20">
        <f>SUMIFS('BY INTERVENTION'!$F:$F,'BY INTERVENTION'!$B:$B,B132,'BY INTERVENTION'!$C:$C,C132,'BY INTERVENTION'!$AA:$AA,D132)</f>
        <v>2403.6438</v>
      </c>
      <c r="G132" s="15"/>
      <c r="H132" s="15"/>
      <c r="I132" s="15"/>
      <c r="J132" s="16" t="s">
        <v>64</v>
      </c>
    </row>
    <row r="133" spans="1:10">
      <c r="A133" s="12" t="s">
        <v>25</v>
      </c>
      <c r="B133" s="12" t="s">
        <v>61</v>
      </c>
      <c r="C133" s="13" t="s">
        <v>235</v>
      </c>
      <c r="D133" s="12" t="s">
        <v>530</v>
      </c>
      <c r="E133" s="19">
        <f>SUMIFS('BY INTERVENTION'!$E:$E,'BY INTERVENTION'!$B:$B,B133,'BY INTERVENTION'!$C:$C,C133,'BY INTERVENTION'!$AA:$AA,D133)</f>
        <v>13500</v>
      </c>
      <c r="F133" s="20">
        <f>SUMIFS('BY INTERVENTION'!$F:$F,'BY INTERVENTION'!$B:$B,B133,'BY INTERVENTION'!$C:$C,C133,'BY INTERVENTION'!$AA:$AA,D133)</f>
        <v>0</v>
      </c>
      <c r="G133" s="15"/>
      <c r="H133" s="15"/>
      <c r="I133" s="15"/>
      <c r="J133" s="16" t="s">
        <v>96</v>
      </c>
    </row>
    <row r="134" spans="1:10">
      <c r="A134" s="12" t="s">
        <v>25</v>
      </c>
      <c r="B134" s="12" t="s">
        <v>236</v>
      </c>
      <c r="C134" s="13" t="s">
        <v>237</v>
      </c>
      <c r="D134" s="12" t="s">
        <v>519</v>
      </c>
      <c r="E134" s="19">
        <f>SUMIFS('BY INTERVENTION'!$E:$E,'BY INTERVENTION'!$B:$B,B134,'BY INTERVENTION'!$C:$C,C134,'BY INTERVENTION'!$AA:$AA,D134)</f>
        <v>15000</v>
      </c>
      <c r="F134" s="20">
        <f>SUMIFS('BY INTERVENTION'!$F:$F,'BY INTERVENTION'!$B:$B,B134,'BY INTERVENTION'!$C:$C,C134,'BY INTERVENTION'!$AA:$AA,D134)</f>
        <v>15000</v>
      </c>
      <c r="G134" s="15"/>
      <c r="H134" s="15"/>
      <c r="I134" s="15"/>
      <c r="J134" s="16" t="s">
        <v>29</v>
      </c>
    </row>
    <row r="135" spans="1:10">
      <c r="A135" s="12" t="s">
        <v>25</v>
      </c>
      <c r="B135" s="12" t="s">
        <v>236</v>
      </c>
      <c r="C135" s="13" t="s">
        <v>237</v>
      </c>
      <c r="D135" s="12" t="s">
        <v>522</v>
      </c>
      <c r="E135" s="23">
        <f>SUMIFS('BY INTERVENTION'!$E:$E,'BY INTERVENTION'!$B:$B,B135,'BY INTERVENTION'!$C:$C,C135,'BY INTERVENTION'!$AA:$AA,D135)</f>
        <v>175089.9557</v>
      </c>
      <c r="F135" s="24">
        <f>SUMIFS('BY INTERVENTION'!$F:$F,'BY INTERVENTION'!$B:$B,B135,'BY INTERVENTION'!$C:$C,C135,'BY INTERVENTION'!$AA:$AA,D135)</f>
        <v>2776.5019</v>
      </c>
      <c r="G135" s="15"/>
      <c r="H135" s="15"/>
      <c r="I135" s="15"/>
      <c r="J135" s="16" t="s">
        <v>64</v>
      </c>
    </row>
    <row r="136" spans="1:10">
      <c r="A136" s="12" t="s">
        <v>25</v>
      </c>
      <c r="B136" s="12" t="s">
        <v>236</v>
      </c>
      <c r="C136" s="13" t="s">
        <v>241</v>
      </c>
      <c r="D136" s="12" t="s">
        <v>530</v>
      </c>
      <c r="E136" s="19">
        <f>SUMIFS('BY INTERVENTION'!$E:$E,'BY INTERVENTION'!$B:$B,B136,'BY INTERVENTION'!$C:$C,C136,'BY INTERVENTION'!$AA:$AA,D136)</f>
        <v>4068</v>
      </c>
      <c r="F136" s="20">
        <f>SUMIFS('BY INTERVENTION'!$F:$F,'BY INTERVENTION'!$B:$B,B136,'BY INTERVENTION'!$C:$C,C136,'BY INTERVENTION'!$AA:$AA,D136)</f>
        <v>18109</v>
      </c>
      <c r="G136" s="15"/>
      <c r="H136" s="15"/>
      <c r="I136" s="15"/>
      <c r="J136" s="16" t="s">
        <v>75</v>
      </c>
    </row>
    <row r="137" spans="1:10">
      <c r="A137" s="12" t="s">
        <v>25</v>
      </c>
      <c r="B137" s="12" t="s">
        <v>236</v>
      </c>
      <c r="C137" s="13" t="s">
        <v>241</v>
      </c>
      <c r="D137" s="12" t="s">
        <v>519</v>
      </c>
      <c r="E137" s="19">
        <f>SUMIFS('BY INTERVENTION'!$E:$E,'BY INTERVENTION'!$B:$B,B137,'BY INTERVENTION'!$C:$C,C137,'BY INTERVENTION'!$AA:$AA,D137)</f>
        <v>0</v>
      </c>
      <c r="F137" s="20">
        <f>SUMIFS('BY INTERVENTION'!$F:$F,'BY INTERVENTION'!$B:$B,B137,'BY INTERVENTION'!$C:$C,C137,'BY INTERVENTION'!$AA:$AA,D137)</f>
        <v>36000</v>
      </c>
      <c r="G137" s="15"/>
      <c r="H137" s="15"/>
      <c r="I137" s="15"/>
      <c r="J137" s="16" t="s">
        <v>29</v>
      </c>
    </row>
    <row r="138" ht="30" customHeight="1" spans="1:10">
      <c r="A138" s="12" t="s">
        <v>25</v>
      </c>
      <c r="B138" s="12" t="s">
        <v>236</v>
      </c>
      <c r="C138" s="13" t="s">
        <v>241</v>
      </c>
      <c r="D138" s="12" t="s">
        <v>520</v>
      </c>
      <c r="E138" s="19">
        <f>SUMIFS('BY INTERVENTION'!$E:$E,'BY INTERVENTION'!$B:$B,B138,'BY INTERVENTION'!$C:$C,C138,'BY INTERVENTION'!$AA:$AA,D138)</f>
        <v>356.25</v>
      </c>
      <c r="F138" s="20">
        <f>SUMIFS('BY INTERVENTION'!$F:$F,'BY INTERVENTION'!$B:$B,B138,'BY INTERVENTION'!$C:$C,C138,'BY INTERVENTION'!$AA:$AA,D138)</f>
        <v>0</v>
      </c>
      <c r="G138" s="15"/>
      <c r="H138" s="15"/>
      <c r="I138" s="15"/>
      <c r="J138" s="16" t="s">
        <v>35</v>
      </c>
    </row>
    <row r="139" ht="45" customHeight="1" spans="1:10">
      <c r="A139" s="12" t="s">
        <v>25</v>
      </c>
      <c r="B139" s="12" t="s">
        <v>236</v>
      </c>
      <c r="C139" s="13" t="s">
        <v>241</v>
      </c>
      <c r="D139" s="12" t="s">
        <v>532</v>
      </c>
      <c r="E139" s="19">
        <f>SUMIFS('BY INTERVENTION'!$E:$E,'BY INTERVENTION'!$B:$B,B139,'BY INTERVENTION'!$C:$C,C139,'BY INTERVENTION'!$AA:$AA,D139)</f>
        <v>2000</v>
      </c>
      <c r="F139" s="20">
        <f>SUMIFS('BY INTERVENTION'!$F:$F,'BY INTERVENTION'!$B:$B,B139,'BY INTERVENTION'!$C:$C,C139,'BY INTERVENTION'!$AA:$AA,D139)</f>
        <v>0</v>
      </c>
      <c r="G139" s="15"/>
      <c r="H139" s="15"/>
      <c r="I139" s="15"/>
      <c r="J139" s="16" t="s">
        <v>134</v>
      </c>
    </row>
    <row r="140" ht="45" customHeight="1" spans="1:10">
      <c r="A140" s="12" t="s">
        <v>25</v>
      </c>
      <c r="B140" s="12" t="s">
        <v>236</v>
      </c>
      <c r="C140" s="13" t="s">
        <v>241</v>
      </c>
      <c r="D140" s="12" t="s">
        <v>531</v>
      </c>
      <c r="E140" s="19">
        <f>SUMIFS('BY INTERVENTION'!$E:$E,'BY INTERVENTION'!$B:$B,B140,'BY INTERVENTION'!$C:$C,C140,'BY INTERVENTION'!$AA:$AA,D140)</f>
        <v>2700</v>
      </c>
      <c r="F140" s="20">
        <f>SUMIFS('BY INTERVENTION'!$F:$F,'BY INTERVENTION'!$B:$B,B140,'BY INTERVENTION'!$C:$C,C140,'BY INTERVENTION'!$AA:$AA,D140)</f>
        <v>0</v>
      </c>
      <c r="G140" s="15"/>
      <c r="H140" s="15"/>
      <c r="I140" s="15"/>
      <c r="J140" s="16" t="s">
        <v>80</v>
      </c>
    </row>
    <row r="141" spans="1:10">
      <c r="A141" s="12" t="s">
        <v>25</v>
      </c>
      <c r="B141" s="12" t="s">
        <v>236</v>
      </c>
      <c r="C141" s="13" t="s">
        <v>241</v>
      </c>
      <c r="D141" s="12" t="s">
        <v>522</v>
      </c>
      <c r="E141" s="23">
        <f>SUMIFS('BY INTERVENTION'!$E:$E,'BY INTERVENTION'!$B:$B,B141,'BY INTERVENTION'!$C:$C,C141,'BY INTERVENTION'!$AA:$AA,D141)</f>
        <v>63105.0361</v>
      </c>
      <c r="F141" s="24">
        <f>SUMIFS('BY INTERVENTION'!$F:$F,'BY INTERVENTION'!$B:$B,B141,'BY INTERVENTION'!$C:$C,C141,'BY INTERVENTION'!$AA:$AA,D141)</f>
        <v>1000.6928</v>
      </c>
      <c r="G141" s="15"/>
      <c r="H141" s="15"/>
      <c r="I141" s="15"/>
      <c r="J141" s="16" t="s">
        <v>64</v>
      </c>
    </row>
    <row r="142" spans="1:10">
      <c r="A142" s="12" t="s">
        <v>25</v>
      </c>
      <c r="B142" s="12" t="s">
        <v>236</v>
      </c>
      <c r="C142" s="13" t="s">
        <v>245</v>
      </c>
      <c r="D142" s="12" t="s">
        <v>530</v>
      </c>
      <c r="E142" s="19">
        <f>SUMIFS('BY INTERVENTION'!$E:$E,'BY INTERVENTION'!$B:$B,B142,'BY INTERVENTION'!$C:$C,C142,'BY INTERVENTION'!$AA:$AA,D142)</f>
        <v>27984</v>
      </c>
      <c r="F142" s="20">
        <f>SUMIFS('BY INTERVENTION'!$F:$F,'BY INTERVENTION'!$B:$B,B142,'BY INTERVENTION'!$C:$C,C142,'BY INTERVENTION'!$AA:$AA,D142)</f>
        <v>28483</v>
      </c>
      <c r="G142" s="15"/>
      <c r="H142" s="15"/>
      <c r="I142" s="15"/>
      <c r="J142" s="16" t="s">
        <v>75</v>
      </c>
    </row>
    <row r="143" spans="1:10">
      <c r="A143" s="12" t="s">
        <v>25</v>
      </c>
      <c r="B143" s="12" t="s">
        <v>236</v>
      </c>
      <c r="C143" s="13" t="s">
        <v>245</v>
      </c>
      <c r="D143" s="12" t="s">
        <v>519</v>
      </c>
      <c r="E143" s="19">
        <f>SUMIFS('BY INTERVENTION'!$E:$E,'BY INTERVENTION'!$B:$B,B143,'BY INTERVENTION'!$C:$C,C143,'BY INTERVENTION'!$AA:$AA,D143)</f>
        <v>15000</v>
      </c>
      <c r="F143" s="20">
        <f>SUMIFS('BY INTERVENTION'!$F:$F,'BY INTERVENTION'!$B:$B,B143,'BY INTERVENTION'!$C:$C,C143,'BY INTERVENTION'!$AA:$AA,D143)</f>
        <v>0</v>
      </c>
      <c r="G143" s="15"/>
      <c r="H143" s="15"/>
      <c r="I143" s="15"/>
      <c r="J143" s="16" t="s">
        <v>29</v>
      </c>
    </row>
    <row r="144" ht="30" customHeight="1" spans="1:10">
      <c r="A144" s="12" t="s">
        <v>25</v>
      </c>
      <c r="B144" s="12" t="s">
        <v>236</v>
      </c>
      <c r="C144" s="13" t="s">
        <v>245</v>
      </c>
      <c r="D144" s="12" t="s">
        <v>520</v>
      </c>
      <c r="E144" s="19">
        <f>SUMIFS('BY INTERVENTION'!$E:$E,'BY INTERVENTION'!$B:$B,B144,'BY INTERVENTION'!$C:$C,C144,'BY INTERVENTION'!$AA:$AA,D144)</f>
        <v>4889.6957</v>
      </c>
      <c r="F144" s="20">
        <f>SUMIFS('BY INTERVENTION'!$F:$F,'BY INTERVENTION'!$B:$B,B144,'BY INTERVENTION'!$C:$C,C144,'BY INTERVENTION'!$AA:$AA,D144)</f>
        <v>0</v>
      </c>
      <c r="G144" s="15"/>
      <c r="H144" s="15"/>
      <c r="I144" s="15"/>
      <c r="J144" s="16" t="s">
        <v>35</v>
      </c>
    </row>
    <row r="145" spans="1:10">
      <c r="A145" s="12" t="s">
        <v>25</v>
      </c>
      <c r="B145" s="12" t="s">
        <v>236</v>
      </c>
      <c r="C145" s="13" t="s">
        <v>245</v>
      </c>
      <c r="D145" s="12" t="s">
        <v>522</v>
      </c>
      <c r="E145" s="23">
        <f>SUMIFS('BY INTERVENTION'!$E:$E,'BY INTERVENTION'!$B:$B,B145,'BY INTERVENTION'!$C:$C,C145,'BY INTERVENTION'!$AA:$AA,D145)</f>
        <v>39517.2473</v>
      </c>
      <c r="F145" s="24">
        <f>SUMIFS('BY INTERVENTION'!$F:$F,'BY INTERVENTION'!$B:$B,B145,'BY INTERVENTION'!$C:$C,C145,'BY INTERVENTION'!$AA:$AA,D145)</f>
        <v>626.6477</v>
      </c>
      <c r="G145" s="15"/>
      <c r="H145" s="15"/>
      <c r="I145" s="15"/>
      <c r="J145" s="16" t="s">
        <v>64</v>
      </c>
    </row>
    <row r="146" spans="1:10">
      <c r="A146" s="12" t="s">
        <v>25</v>
      </c>
      <c r="B146" s="12" t="s">
        <v>236</v>
      </c>
      <c r="C146" s="13" t="s">
        <v>251</v>
      </c>
      <c r="D146" s="12" t="s">
        <v>530</v>
      </c>
      <c r="E146" s="19">
        <f>SUMIFS('BY INTERVENTION'!$E:$E,'BY INTERVENTION'!$B:$B,B146,'BY INTERVENTION'!$C:$C,C146,'BY INTERVENTION'!$AA:$AA,D146)</f>
        <v>24290</v>
      </c>
      <c r="F146" s="20">
        <f>SUMIFS('BY INTERVENTION'!$F:$F,'BY INTERVENTION'!$B:$B,B146,'BY INTERVENTION'!$C:$C,C146,'BY INTERVENTION'!$AA:$AA,D146)</f>
        <v>60190</v>
      </c>
      <c r="G146" s="15"/>
      <c r="H146" s="15"/>
      <c r="I146" s="15"/>
      <c r="J146" s="16" t="s">
        <v>75</v>
      </c>
    </row>
    <row r="147" spans="1:10">
      <c r="A147" s="12" t="s">
        <v>25</v>
      </c>
      <c r="B147" s="12" t="s">
        <v>236</v>
      </c>
      <c r="C147" s="13" t="s">
        <v>251</v>
      </c>
      <c r="D147" s="12" t="s">
        <v>519</v>
      </c>
      <c r="E147" s="19">
        <f>SUMIFS('BY INTERVENTION'!$E:$E,'BY INTERVENTION'!$B:$B,B147,'BY INTERVENTION'!$C:$C,C147,'BY INTERVENTION'!$AA:$AA,D147)</f>
        <v>15000</v>
      </c>
      <c r="F147" s="20">
        <f>SUMIFS('BY INTERVENTION'!$F:$F,'BY INTERVENTION'!$B:$B,B147,'BY INTERVENTION'!$C:$C,C147,'BY INTERVENTION'!$AA:$AA,D147)</f>
        <v>0</v>
      </c>
      <c r="G147" s="15"/>
      <c r="H147" s="15"/>
      <c r="I147" s="15"/>
      <c r="J147" s="16" t="s">
        <v>29</v>
      </c>
    </row>
    <row r="148" spans="1:10">
      <c r="A148" s="12" t="s">
        <v>25</v>
      </c>
      <c r="B148" s="12" t="s">
        <v>236</v>
      </c>
      <c r="C148" s="13" t="s">
        <v>251</v>
      </c>
      <c r="D148" s="12" t="s">
        <v>522</v>
      </c>
      <c r="E148" s="23">
        <f>SUMIFS('BY INTERVENTION'!$E:$E,'BY INTERVENTION'!$B:$B,B148,'BY INTERVENTION'!$C:$C,C148,'BY INTERVENTION'!$AA:$AA,D148)</f>
        <v>17412.3561</v>
      </c>
      <c r="F148" s="24">
        <f>SUMIFS('BY INTERVENTION'!$F:$F,'BY INTERVENTION'!$B:$B,B148,'BY INTERVENTION'!$C:$C,C148,'BY INTERVENTION'!$AA:$AA,D148)</f>
        <v>276.1177</v>
      </c>
      <c r="G148" s="15"/>
      <c r="H148" s="15"/>
      <c r="I148" s="15"/>
      <c r="J148" s="16" t="s">
        <v>64</v>
      </c>
    </row>
    <row r="149" spans="1:10">
      <c r="A149" s="12" t="s">
        <v>25</v>
      </c>
      <c r="B149" s="12" t="s">
        <v>236</v>
      </c>
      <c r="C149" s="13" t="s">
        <v>254</v>
      </c>
      <c r="D149" s="12" t="s">
        <v>530</v>
      </c>
      <c r="E149" s="19">
        <f>SUMIFS('BY INTERVENTION'!$E:$E,'BY INTERVENTION'!$B:$B,B149,'BY INTERVENTION'!$C:$C,C149,'BY INTERVENTION'!$AA:$AA,D149)</f>
        <v>328.5</v>
      </c>
      <c r="F149" s="20">
        <f>SUMIFS('BY INTERVENTION'!$F:$F,'BY INTERVENTION'!$B:$B,B149,'BY INTERVENTION'!$C:$C,C149,'BY INTERVENTION'!$AA:$AA,D149)</f>
        <v>0</v>
      </c>
      <c r="G149" s="15"/>
      <c r="H149" s="15"/>
      <c r="I149" s="15"/>
      <c r="J149" s="16" t="s">
        <v>75</v>
      </c>
    </row>
    <row r="150" spans="1:10">
      <c r="A150" s="12" t="s">
        <v>25</v>
      </c>
      <c r="B150" s="12" t="s">
        <v>236</v>
      </c>
      <c r="C150" s="13" t="s">
        <v>254</v>
      </c>
      <c r="D150" s="12" t="s">
        <v>519</v>
      </c>
      <c r="E150" s="19">
        <f>SUMIFS('BY INTERVENTION'!$E:$E,'BY INTERVENTION'!$B:$B,B150,'BY INTERVENTION'!$C:$C,C150,'BY INTERVENTION'!$AA:$AA,D150)</f>
        <v>27000</v>
      </c>
      <c r="F150" s="20">
        <f>SUMIFS('BY INTERVENTION'!$F:$F,'BY INTERVENTION'!$B:$B,B150,'BY INTERVENTION'!$C:$C,C150,'BY INTERVENTION'!$AA:$AA,D150)</f>
        <v>194700</v>
      </c>
      <c r="G150" s="15"/>
      <c r="H150" s="15"/>
      <c r="I150" s="15"/>
      <c r="J150" s="16" t="s">
        <v>29</v>
      </c>
    </row>
    <row r="151" spans="1:10">
      <c r="A151" s="12" t="s">
        <v>25</v>
      </c>
      <c r="B151" s="12" t="s">
        <v>236</v>
      </c>
      <c r="C151" s="13" t="s">
        <v>254</v>
      </c>
      <c r="D151" s="12" t="s">
        <v>522</v>
      </c>
      <c r="E151" s="23">
        <f>SUMIFS('BY INTERVENTION'!$E:$E,'BY INTERVENTION'!$B:$B,B151,'BY INTERVENTION'!$C:$C,C151,'BY INTERVENTION'!$AA:$AA,D151)</f>
        <v>78460.8706</v>
      </c>
      <c r="F151" s="24">
        <f>SUMIFS('BY INTERVENTION'!$F:$F,'BY INTERVENTION'!$B:$B,B151,'BY INTERVENTION'!$C:$C,C151,'BY INTERVENTION'!$AA:$AA,D151)</f>
        <v>1244.199</v>
      </c>
      <c r="G151" s="15"/>
      <c r="H151" s="15"/>
      <c r="I151" s="15"/>
      <c r="J151" s="16" t="s">
        <v>64</v>
      </c>
    </row>
    <row r="152" spans="1:10">
      <c r="A152" s="12" t="s">
        <v>25</v>
      </c>
      <c r="B152" s="12" t="s">
        <v>236</v>
      </c>
      <c r="C152" s="13" t="s">
        <v>264</v>
      </c>
      <c r="D152" s="12" t="s">
        <v>530</v>
      </c>
      <c r="E152" s="19">
        <f>SUMIFS('BY INTERVENTION'!$E:$E,'BY INTERVENTION'!$B:$B,B152,'BY INTERVENTION'!$C:$C,C152,'BY INTERVENTION'!$AA:$AA,D152)</f>
        <v>19659</v>
      </c>
      <c r="F152" s="20">
        <f>SUMIFS('BY INTERVENTION'!$F:$F,'BY INTERVENTION'!$B:$B,B152,'BY INTERVENTION'!$C:$C,C152,'BY INTERVENTION'!$AA:$AA,D152)</f>
        <v>107575</v>
      </c>
      <c r="G152" s="15"/>
      <c r="H152" s="15"/>
      <c r="I152" s="15"/>
      <c r="J152" s="16" t="s">
        <v>75</v>
      </c>
    </row>
    <row r="153" ht="30" spans="1:10">
      <c r="A153" s="12" t="s">
        <v>25</v>
      </c>
      <c r="B153" s="12" t="s">
        <v>236</v>
      </c>
      <c r="C153" s="13" t="s">
        <v>264</v>
      </c>
      <c r="D153" s="12" t="s">
        <v>520</v>
      </c>
      <c r="E153" s="19">
        <f>SUMIFS('BY INTERVENTION'!$E:$E,'BY INTERVENTION'!$B:$B,B153,'BY INTERVENTION'!$C:$C,C153,'BY INTERVENTION'!$AA:$AA,D153)</f>
        <v>1500</v>
      </c>
      <c r="F153" s="20">
        <f>SUMIFS('BY INTERVENTION'!$F:$F,'BY INTERVENTION'!$B:$B,B153,'BY INTERVENTION'!$C:$C,C153,'BY INTERVENTION'!$AA:$AA,D153)</f>
        <v>0</v>
      </c>
      <c r="G153" s="15"/>
      <c r="H153" s="15"/>
      <c r="I153" s="15"/>
      <c r="J153" s="16" t="s">
        <v>35</v>
      </c>
    </row>
    <row r="154" ht="45" spans="1:10">
      <c r="A154" s="12" t="s">
        <v>25</v>
      </c>
      <c r="B154" s="12" t="s">
        <v>236</v>
      </c>
      <c r="C154" s="13" t="s">
        <v>264</v>
      </c>
      <c r="D154" s="12" t="s">
        <v>531</v>
      </c>
      <c r="E154" s="19">
        <f>SUMIFS('BY INTERVENTION'!$E:$E,'BY INTERVENTION'!$B:$B,B154,'BY INTERVENTION'!$C:$C,C154,'BY INTERVENTION'!$AA:$AA,D154)</f>
        <v>5000</v>
      </c>
      <c r="F154" s="20">
        <f>SUMIFS('BY INTERVENTION'!$F:$F,'BY INTERVENTION'!$B:$B,B154,'BY INTERVENTION'!$C:$C,C154,'BY INTERVENTION'!$AA:$AA,D154)</f>
        <v>0</v>
      </c>
      <c r="G154" s="15"/>
      <c r="H154" s="15"/>
      <c r="I154" s="15"/>
      <c r="J154" s="16" t="s">
        <v>80</v>
      </c>
    </row>
    <row r="155" ht="30" customHeight="1" spans="1:10">
      <c r="A155" s="12" t="s">
        <v>25</v>
      </c>
      <c r="B155" s="12" t="s">
        <v>236</v>
      </c>
      <c r="C155" s="13" t="s">
        <v>264</v>
      </c>
      <c r="D155" s="12" t="s">
        <v>522</v>
      </c>
      <c r="E155" s="23">
        <f>SUMIFS('BY INTERVENTION'!$E:$E,'BY INTERVENTION'!$B:$B,B155,'BY INTERVENTION'!$C:$C,C155,'BY INTERVENTION'!$AA:$AA,D155)</f>
        <v>42390.0272</v>
      </c>
      <c r="F155" s="24">
        <f>SUMIFS('BY INTERVENTION'!$F:$F,'BY INTERVENTION'!$B:$B,B155,'BY INTERVENTION'!$C:$C,C155,'BY INTERVENTION'!$AA:$AA,D155)</f>
        <v>672.203</v>
      </c>
      <c r="G155" s="15"/>
      <c r="H155" s="15"/>
      <c r="I155" s="15"/>
      <c r="J155" s="16" t="s">
        <v>64</v>
      </c>
    </row>
    <row r="156" ht="45" customHeight="1" spans="1:10">
      <c r="A156" s="12" t="s">
        <v>25</v>
      </c>
      <c r="B156" s="12" t="s">
        <v>236</v>
      </c>
      <c r="C156" s="13" t="s">
        <v>266</v>
      </c>
      <c r="D156" s="12" t="s">
        <v>530</v>
      </c>
      <c r="E156" s="19">
        <f>SUMIFS('BY INTERVENTION'!$E:$E,'BY INTERVENTION'!$B:$B,B156,'BY INTERVENTION'!$C:$C,C156,'BY INTERVENTION'!$AA:$AA,D156)</f>
        <v>0</v>
      </c>
      <c r="F156" s="20">
        <f>SUMIFS('BY INTERVENTION'!$F:$F,'BY INTERVENTION'!$B:$B,B156,'BY INTERVENTION'!$C:$C,C156,'BY INTERVENTION'!$AA:$AA,D156)</f>
        <v>0</v>
      </c>
      <c r="G156" s="15"/>
      <c r="H156" s="15"/>
      <c r="I156" s="15"/>
      <c r="J156" s="16" t="s">
        <v>75</v>
      </c>
    </row>
    <row r="157" spans="1:10">
      <c r="A157" s="12" t="s">
        <v>25</v>
      </c>
      <c r="B157" s="12" t="s">
        <v>236</v>
      </c>
      <c r="C157" s="13" t="s">
        <v>266</v>
      </c>
      <c r="D157" s="12" t="s">
        <v>519</v>
      </c>
      <c r="E157" s="19">
        <f>SUMIFS('BY INTERVENTION'!$E:$E,'BY INTERVENTION'!$B:$B,B157,'BY INTERVENTION'!$C:$C,C157,'BY INTERVENTION'!$AA:$AA,D157)</f>
        <v>15000</v>
      </c>
      <c r="F157" s="20">
        <f>SUMIFS('BY INTERVENTION'!$F:$F,'BY INTERVENTION'!$B:$B,B157,'BY INTERVENTION'!$C:$C,C157,'BY INTERVENTION'!$AA:$AA,D157)</f>
        <v>0</v>
      </c>
      <c r="G157" s="15"/>
      <c r="H157" s="15"/>
      <c r="I157" s="15"/>
      <c r="J157" s="16" t="s">
        <v>29</v>
      </c>
    </row>
    <row r="158" ht="30" spans="1:10">
      <c r="A158" s="12" t="s">
        <v>25</v>
      </c>
      <c r="B158" s="12" t="s">
        <v>236</v>
      </c>
      <c r="C158" s="13" t="s">
        <v>266</v>
      </c>
      <c r="D158" s="12" t="s">
        <v>520</v>
      </c>
      <c r="E158" s="19">
        <f>SUMIFS('BY INTERVENTION'!$E:$E,'BY INTERVENTION'!$B:$B,B158,'BY INTERVENTION'!$C:$C,C158,'BY INTERVENTION'!$AA:$AA,D158)</f>
        <v>22029.82</v>
      </c>
      <c r="F158" s="20">
        <f>SUMIFS('BY INTERVENTION'!$F:$F,'BY INTERVENTION'!$B:$B,B158,'BY INTERVENTION'!$C:$C,C158,'BY INTERVENTION'!$AA:$AA,D158)</f>
        <v>0</v>
      </c>
      <c r="G158" s="15"/>
      <c r="H158" s="15"/>
      <c r="I158" s="15"/>
      <c r="J158" s="16" t="s">
        <v>35</v>
      </c>
    </row>
    <row r="159" spans="1:10">
      <c r="A159" s="12" t="s">
        <v>25</v>
      </c>
      <c r="B159" s="12" t="s">
        <v>236</v>
      </c>
      <c r="C159" s="13" t="s">
        <v>266</v>
      </c>
      <c r="D159" s="12" t="s">
        <v>522</v>
      </c>
      <c r="E159" s="23">
        <f>SUMIFS('BY INTERVENTION'!$E:$E,'BY INTERVENTION'!$B:$B,B159,'BY INTERVENTION'!$C:$C,C159,'BY INTERVENTION'!$AA:$AA,D159)</f>
        <v>90794.1339</v>
      </c>
      <c r="F159" s="24">
        <f>SUMIFS('BY INTERVENTION'!$F:$F,'BY INTERVENTION'!$B:$B,B159,'BY INTERVENTION'!$C:$C,C159,'BY INTERVENTION'!$AA:$AA,D159)</f>
        <v>1439.7747</v>
      </c>
      <c r="G159" s="15"/>
      <c r="H159" s="15"/>
      <c r="I159" s="15"/>
      <c r="J159" s="16" t="s">
        <v>64</v>
      </c>
    </row>
    <row r="160" ht="30" customHeight="1" spans="1:10">
      <c r="A160" s="12" t="s">
        <v>25</v>
      </c>
      <c r="B160" s="12" t="s">
        <v>236</v>
      </c>
      <c r="C160" s="13" t="s">
        <v>268</v>
      </c>
      <c r="D160" s="12" t="s">
        <v>530</v>
      </c>
      <c r="E160" s="19">
        <f>SUMIFS('BY INTERVENTION'!$E:$E,'BY INTERVENTION'!$B:$B,B160,'BY INTERVENTION'!$C:$C,C160,'BY INTERVENTION'!$AA:$AA,D160)</f>
        <v>340826</v>
      </c>
      <c r="F160" s="20">
        <f>SUMIFS('BY INTERVENTION'!$F:$F,'BY INTERVENTION'!$B:$B,B160,'BY INTERVENTION'!$C:$C,C160,'BY INTERVENTION'!$AA:$AA,D160)</f>
        <v>65000</v>
      </c>
      <c r="G160" s="15"/>
      <c r="H160" s="15"/>
      <c r="I160" s="15"/>
      <c r="J160" s="16" t="s">
        <v>75</v>
      </c>
    </row>
    <row r="161" spans="1:10">
      <c r="A161" s="12" t="s">
        <v>25</v>
      </c>
      <c r="B161" s="12" t="s">
        <v>236</v>
      </c>
      <c r="C161" s="13" t="s">
        <v>268</v>
      </c>
      <c r="D161" s="12" t="s">
        <v>519</v>
      </c>
      <c r="E161" s="19">
        <f>SUMIFS('BY INTERVENTION'!$E:$E,'BY INTERVENTION'!$B:$B,B161,'BY INTERVENTION'!$C:$C,C161,'BY INTERVENTION'!$AA:$AA,D161)</f>
        <v>58000</v>
      </c>
      <c r="F161" s="20">
        <f>SUMIFS('BY INTERVENTION'!$F:$F,'BY INTERVENTION'!$B:$B,B161,'BY INTERVENTION'!$C:$C,C161,'BY INTERVENTION'!$AA:$AA,D161)</f>
        <v>82500</v>
      </c>
      <c r="G161" s="15"/>
      <c r="H161" s="15"/>
      <c r="I161" s="15"/>
      <c r="J161" s="16" t="s">
        <v>29</v>
      </c>
    </row>
    <row r="162" ht="30" spans="1:10">
      <c r="A162" s="12" t="s">
        <v>25</v>
      </c>
      <c r="B162" s="12" t="s">
        <v>236</v>
      </c>
      <c r="C162" s="13" t="s">
        <v>268</v>
      </c>
      <c r="D162" s="12" t="s">
        <v>520</v>
      </c>
      <c r="E162" s="19">
        <f>SUMIFS('BY INTERVENTION'!$E:$E,'BY INTERVENTION'!$B:$B,B162,'BY INTERVENTION'!$C:$C,C162,'BY INTERVENTION'!$AA:$AA,D162)</f>
        <v>1412.65</v>
      </c>
      <c r="F162" s="20">
        <f>SUMIFS('BY INTERVENTION'!$F:$F,'BY INTERVENTION'!$B:$B,B162,'BY INTERVENTION'!$C:$C,C162,'BY INTERVENTION'!$AA:$AA,D162)</f>
        <v>0</v>
      </c>
      <c r="G162" s="15"/>
      <c r="H162" s="15"/>
      <c r="I162" s="15"/>
      <c r="J162" s="16" t="s">
        <v>35</v>
      </c>
    </row>
    <row r="163" spans="1:10">
      <c r="A163" s="12" t="s">
        <v>25</v>
      </c>
      <c r="B163" s="12" t="s">
        <v>236</v>
      </c>
      <c r="C163" s="13" t="s">
        <v>268</v>
      </c>
      <c r="D163" s="12" t="s">
        <v>522</v>
      </c>
      <c r="E163" s="19">
        <f>SUMIFS('BY INTERVENTION'!$E:$E,'BY INTERVENTION'!$B:$B,B163,'BY INTERVENTION'!$C:$C,C163,'BY INTERVENTION'!$AA:$AA,D163)</f>
        <v>4800</v>
      </c>
      <c r="F163" s="20">
        <f>SUMIFS('BY INTERVENTION'!$F:$F,'BY INTERVENTION'!$B:$B,B163,'BY INTERVENTION'!$C:$C,C163,'BY INTERVENTION'!$AA:$AA,D163)</f>
        <v>0</v>
      </c>
      <c r="G163" s="15"/>
      <c r="H163" s="15"/>
      <c r="I163" s="15"/>
      <c r="J163" s="16" t="s">
        <v>64</v>
      </c>
    </row>
    <row r="164" spans="1:10">
      <c r="A164" s="12" t="s">
        <v>25</v>
      </c>
      <c r="B164" s="12" t="s">
        <v>236</v>
      </c>
      <c r="C164" s="13" t="s">
        <v>282</v>
      </c>
      <c r="D164" s="12" t="s">
        <v>530</v>
      </c>
      <c r="E164" s="19">
        <f>SUMIFS('BY INTERVENTION'!$E:$E,'BY INTERVENTION'!$B:$B,B164,'BY INTERVENTION'!$C:$C,C164,'BY INTERVENTION'!$AA:$AA,D164)</f>
        <v>281520.83</v>
      </c>
      <c r="F164" s="20">
        <f>SUMIFS('BY INTERVENTION'!$F:$F,'BY INTERVENTION'!$B:$B,B164,'BY INTERVENTION'!$C:$C,C164,'BY INTERVENTION'!$AA:$AA,D164)</f>
        <v>0</v>
      </c>
      <c r="G164" s="15"/>
      <c r="H164" s="15"/>
      <c r="I164" s="15"/>
      <c r="J164" s="16" t="s">
        <v>75</v>
      </c>
    </row>
    <row r="165" ht="30" customHeight="1" spans="1:10">
      <c r="A165" s="12" t="s">
        <v>25</v>
      </c>
      <c r="B165" s="12" t="s">
        <v>236</v>
      </c>
      <c r="C165" s="13" t="s">
        <v>282</v>
      </c>
      <c r="D165" s="12" t="s">
        <v>519</v>
      </c>
      <c r="E165" s="19">
        <f>SUMIFS('BY INTERVENTION'!$E:$E,'BY INTERVENTION'!$B:$B,B165,'BY INTERVENTION'!$C:$C,C165,'BY INTERVENTION'!$AA:$AA,D165)</f>
        <v>0</v>
      </c>
      <c r="F165" s="20">
        <f>SUMIFS('BY INTERVENTION'!$F:$F,'BY INTERVENTION'!$B:$B,B165,'BY INTERVENTION'!$C:$C,C165,'BY INTERVENTION'!$AA:$AA,D165)</f>
        <v>57000</v>
      </c>
      <c r="G165" s="15"/>
      <c r="H165" s="15"/>
      <c r="I165" s="15"/>
      <c r="J165" s="16" t="s">
        <v>29</v>
      </c>
    </row>
    <row r="166" ht="30" spans="1:10">
      <c r="A166" s="12" t="s">
        <v>25</v>
      </c>
      <c r="B166" s="12" t="s">
        <v>236</v>
      </c>
      <c r="C166" s="13" t="s">
        <v>282</v>
      </c>
      <c r="D166" s="12" t="s">
        <v>520</v>
      </c>
      <c r="E166" s="19">
        <f>SUMIFS('BY INTERVENTION'!$E:$E,'BY INTERVENTION'!$B:$B,B166,'BY INTERVENTION'!$C:$C,C166,'BY INTERVENTION'!$AA:$AA,D166)</f>
        <v>2318.98</v>
      </c>
      <c r="F166" s="20">
        <f>SUMIFS('BY INTERVENTION'!$F:$F,'BY INTERVENTION'!$B:$B,B166,'BY INTERVENTION'!$C:$C,C166,'BY INTERVENTION'!$AA:$AA,D166)</f>
        <v>0</v>
      </c>
      <c r="G166" s="15"/>
      <c r="H166" s="15"/>
      <c r="I166" s="15"/>
      <c r="J166" s="16" t="s">
        <v>35</v>
      </c>
    </row>
    <row r="167" spans="1:10">
      <c r="A167" s="12" t="s">
        <v>25</v>
      </c>
      <c r="B167" s="12" t="s">
        <v>236</v>
      </c>
      <c r="C167" s="13" t="s">
        <v>282</v>
      </c>
      <c r="D167" s="12" t="s">
        <v>535</v>
      </c>
      <c r="E167" s="19">
        <f>SUMIFS('BY INTERVENTION'!$E:$E,'BY INTERVENTION'!$B:$B,B167,'BY INTERVENTION'!$C:$C,C167,'BY INTERVENTION'!$AA:$AA,D167)</f>
        <v>500</v>
      </c>
      <c r="F167" s="20">
        <f>SUMIFS('BY INTERVENTION'!$F:$F,'BY INTERVENTION'!$B:$B,B167,'BY INTERVENTION'!$C:$C,C167,'BY INTERVENTION'!$AA:$AA,D167)</f>
        <v>0</v>
      </c>
      <c r="G167" s="15"/>
      <c r="H167" s="15"/>
      <c r="I167" s="15"/>
      <c r="J167" s="16" t="s">
        <v>288</v>
      </c>
    </row>
    <row r="168" ht="30" spans="1:10">
      <c r="A168" s="12" t="s">
        <v>25</v>
      </c>
      <c r="B168" s="12" t="s">
        <v>236</v>
      </c>
      <c r="C168" s="13" t="s">
        <v>282</v>
      </c>
      <c r="D168" s="12" t="s">
        <v>534</v>
      </c>
      <c r="E168" s="19">
        <f>SUMIFS('BY INTERVENTION'!$E:$E,'BY INTERVENTION'!$B:$B,B168,'BY INTERVENTION'!$C:$C,C168,'BY INTERVENTION'!$AA:$AA,D168)</f>
        <v>8760</v>
      </c>
      <c r="F168" s="20">
        <f>SUMIFS('BY INTERVENTION'!$F:$F,'BY INTERVENTION'!$B:$B,B168,'BY INTERVENTION'!$C:$C,C168,'BY INTERVENTION'!$AA:$AA,D168)</f>
        <v>0</v>
      </c>
      <c r="G168" s="15"/>
      <c r="H168" s="15"/>
      <c r="I168" s="15"/>
      <c r="J168" s="16" t="s">
        <v>196</v>
      </c>
    </row>
    <row r="169" spans="1:10">
      <c r="A169" s="12" t="s">
        <v>25</v>
      </c>
      <c r="B169" s="12" t="s">
        <v>236</v>
      </c>
      <c r="C169" s="13" t="s">
        <v>289</v>
      </c>
      <c r="D169" s="12" t="s">
        <v>530</v>
      </c>
      <c r="E169" s="19">
        <f>SUMIFS('BY INTERVENTION'!$E:$E,'BY INTERVENTION'!$B:$B,B169,'BY INTERVENTION'!$C:$C,C169,'BY INTERVENTION'!$AA:$AA,D169)</f>
        <v>5785.67</v>
      </c>
      <c r="F169" s="20">
        <f>SUMIFS('BY INTERVENTION'!$F:$F,'BY INTERVENTION'!$B:$B,B169,'BY INTERVENTION'!$C:$C,C169,'BY INTERVENTION'!$AA:$AA,D169)</f>
        <v>32643</v>
      </c>
      <c r="G169" s="15"/>
      <c r="H169" s="15"/>
      <c r="I169" s="15"/>
      <c r="J169" s="16" t="s">
        <v>75</v>
      </c>
    </row>
    <row r="170" ht="30" customHeight="1" spans="1:10">
      <c r="A170" s="12" t="s">
        <v>25</v>
      </c>
      <c r="B170" s="12" t="s">
        <v>236</v>
      </c>
      <c r="C170" s="13" t="s">
        <v>289</v>
      </c>
      <c r="D170" s="12" t="s">
        <v>519</v>
      </c>
      <c r="E170" s="19">
        <f>SUMIFS('BY INTERVENTION'!$E:$E,'BY INTERVENTION'!$B:$B,B170,'BY INTERVENTION'!$C:$C,C170,'BY INTERVENTION'!$AA:$AA,D170)</f>
        <v>19500</v>
      </c>
      <c r="F170" s="20">
        <f>SUMIFS('BY INTERVENTION'!$F:$F,'BY INTERVENTION'!$B:$B,B170,'BY INTERVENTION'!$C:$C,C170,'BY INTERVENTION'!$AA:$AA,D170)</f>
        <v>42900</v>
      </c>
      <c r="G170" s="15"/>
      <c r="H170" s="15"/>
      <c r="I170" s="15"/>
      <c r="J170" s="16" t="s">
        <v>29</v>
      </c>
    </row>
    <row r="171" spans="1:10">
      <c r="A171" s="12" t="s">
        <v>25</v>
      </c>
      <c r="B171" s="12" t="s">
        <v>236</v>
      </c>
      <c r="C171" s="13" t="s">
        <v>289</v>
      </c>
      <c r="D171" s="12" t="s">
        <v>522</v>
      </c>
      <c r="E171" s="23">
        <f>SUMIFS('BY INTERVENTION'!$E:$E,'BY INTERVENTION'!$B:$B,B171,'BY INTERVENTION'!$C:$C,C171,'BY INTERVENTION'!$AA:$AA,D171)</f>
        <v>75974.4758</v>
      </c>
      <c r="F171" s="24">
        <f>SUMIFS('BY INTERVENTION'!$F:$F,'BY INTERVENTION'!$B:$B,B171,'BY INTERVENTION'!$C:$C,C171,'BY INTERVENTION'!$AA:$AA,D171)</f>
        <v>1204.7708</v>
      </c>
      <c r="G171" s="15"/>
      <c r="H171" s="15"/>
      <c r="I171" s="15"/>
      <c r="J171" s="16" t="s">
        <v>64</v>
      </c>
    </row>
    <row r="172" ht="30" customHeight="1" spans="1:10">
      <c r="A172" s="12" t="s">
        <v>25</v>
      </c>
      <c r="B172" s="12" t="s">
        <v>236</v>
      </c>
      <c r="C172" s="13" t="s">
        <v>293</v>
      </c>
      <c r="D172" s="12" t="s">
        <v>530</v>
      </c>
      <c r="E172" s="19">
        <f>SUMIFS('BY INTERVENTION'!$E:$E,'BY INTERVENTION'!$B:$B,B172,'BY INTERVENTION'!$C:$C,C172,'BY INTERVENTION'!$AA:$AA,D172)</f>
        <v>15700</v>
      </c>
      <c r="F172" s="20">
        <f>SUMIFS('BY INTERVENTION'!$F:$F,'BY INTERVENTION'!$B:$B,B172,'BY INTERVENTION'!$C:$C,C172,'BY INTERVENTION'!$AA:$AA,D172)</f>
        <v>8760</v>
      </c>
      <c r="G172" s="15"/>
      <c r="H172" s="15"/>
      <c r="I172" s="15"/>
      <c r="J172" s="16" t="s">
        <v>75</v>
      </c>
    </row>
    <row r="173" spans="1:10">
      <c r="A173" s="12" t="s">
        <v>25</v>
      </c>
      <c r="B173" s="12" t="s">
        <v>236</v>
      </c>
      <c r="C173" s="13" t="s">
        <v>293</v>
      </c>
      <c r="D173" s="12" t="s">
        <v>519</v>
      </c>
      <c r="E173" s="19">
        <f>SUMIFS('BY INTERVENTION'!$E:$E,'BY INTERVENTION'!$B:$B,B173,'BY INTERVENTION'!$C:$C,C173,'BY INTERVENTION'!$AA:$AA,D173)</f>
        <v>0</v>
      </c>
      <c r="F173" s="20">
        <f>SUMIFS('BY INTERVENTION'!$F:$F,'BY INTERVENTION'!$B:$B,B173,'BY INTERVENTION'!$C:$C,C173,'BY INTERVENTION'!$AA:$AA,D173)</f>
        <v>51750</v>
      </c>
      <c r="G173" s="15"/>
      <c r="H173" s="15"/>
      <c r="I173" s="15"/>
      <c r="J173" s="16" t="s">
        <v>29</v>
      </c>
    </row>
    <row r="174" spans="1:10">
      <c r="A174" s="12" t="s">
        <v>25</v>
      </c>
      <c r="B174" s="12" t="s">
        <v>236</v>
      </c>
      <c r="C174" s="13" t="s">
        <v>296</v>
      </c>
      <c r="D174" s="12" t="s">
        <v>530</v>
      </c>
      <c r="E174" s="19">
        <f>SUMIFS('BY INTERVENTION'!$E:$E,'BY INTERVENTION'!$B:$B,B174,'BY INTERVENTION'!$C:$C,C174,'BY INTERVENTION'!$AA:$AA,D174)</f>
        <v>0</v>
      </c>
      <c r="F174" s="20">
        <f>SUMIFS('BY INTERVENTION'!$F:$F,'BY INTERVENTION'!$B:$B,B174,'BY INTERVENTION'!$C:$C,C174,'BY INTERVENTION'!$AA:$AA,D174)</f>
        <v>0</v>
      </c>
      <c r="G174" s="15"/>
      <c r="H174" s="15"/>
      <c r="I174" s="15"/>
      <c r="J174" s="16" t="s">
        <v>75</v>
      </c>
    </row>
    <row r="175" ht="30" customHeight="1" spans="1:10">
      <c r="A175" s="12" t="s">
        <v>25</v>
      </c>
      <c r="B175" s="12" t="s">
        <v>236</v>
      </c>
      <c r="C175" s="13" t="s">
        <v>296</v>
      </c>
      <c r="D175" s="12" t="s">
        <v>522</v>
      </c>
      <c r="E175" s="19">
        <f>SUMIFS('BY INTERVENTION'!$E:$E,'BY INTERVENTION'!$B:$B,B175,'BY INTERVENTION'!$C:$C,C175,'BY INTERVENTION'!$AA:$AA,D175)</f>
        <v>4012.7802</v>
      </c>
      <c r="F175" s="20">
        <f>SUMIFS('BY INTERVENTION'!$F:$F,'BY INTERVENTION'!$B:$B,B175,'BY INTERVENTION'!$C:$C,C175,'BY INTERVENTION'!$AA:$AA,D175)</f>
        <v>63.633</v>
      </c>
      <c r="G175" s="15"/>
      <c r="H175" s="15"/>
      <c r="I175" s="15"/>
      <c r="J175" s="16" t="s">
        <v>64</v>
      </c>
    </row>
    <row r="176" ht="30" customHeight="1" spans="1:10">
      <c r="A176" s="12" t="s">
        <v>25</v>
      </c>
      <c r="B176" s="12" t="s">
        <v>236</v>
      </c>
      <c r="C176" s="13" t="s">
        <v>296</v>
      </c>
      <c r="D176" s="12" t="s">
        <v>533</v>
      </c>
      <c r="E176" s="19">
        <f>SUMIFS('BY INTERVENTION'!$E:$E,'BY INTERVENTION'!$B:$B,B176,'BY INTERVENTION'!$C:$C,C176,'BY INTERVENTION'!$AA:$AA,D176)</f>
        <v>589.568</v>
      </c>
      <c r="F176" s="20">
        <f>SUMIFS('BY INTERVENTION'!$F:$F,'BY INTERVENTION'!$B:$B,B176,'BY INTERVENTION'!$C:$C,C176,'BY INTERVENTION'!$AA:$AA,D176)</f>
        <v>0</v>
      </c>
      <c r="G176" s="15"/>
      <c r="H176" s="15"/>
      <c r="I176" s="15"/>
      <c r="J176" s="16" t="s">
        <v>166</v>
      </c>
    </row>
    <row r="177" ht="30" customHeight="1" spans="1:10">
      <c r="A177" s="12" t="s">
        <v>25</v>
      </c>
      <c r="B177" s="12" t="s">
        <v>236</v>
      </c>
      <c r="C177" s="13" t="s">
        <v>298</v>
      </c>
      <c r="D177" s="12" t="s">
        <v>522</v>
      </c>
      <c r="E177" s="19">
        <f>SUMIFS('BY INTERVENTION'!$E:$E,'BY INTERVENTION'!$B:$B,B177,'BY INTERVENTION'!$C:$C,C177,'BY INTERVENTION'!$AA:$AA,D177)</f>
        <v>14633.4716</v>
      </c>
      <c r="F177" s="20">
        <f>SUMIFS('BY INTERVENTION'!$F:$F,'BY INTERVENTION'!$B:$B,B177,'BY INTERVENTION'!$C:$C,C177,'BY INTERVENTION'!$AA:$AA,D177)</f>
        <v>148.0062</v>
      </c>
      <c r="G177" s="15"/>
      <c r="H177" s="15"/>
      <c r="I177" s="15"/>
      <c r="J177" s="16" t="s">
        <v>64</v>
      </c>
    </row>
    <row r="178" ht="30" customHeight="1" spans="1:10">
      <c r="A178" s="12" t="s">
        <v>25</v>
      </c>
      <c r="B178" s="12" t="s">
        <v>236</v>
      </c>
      <c r="C178" s="13" t="s">
        <v>300</v>
      </c>
      <c r="D178" s="12" t="s">
        <v>530</v>
      </c>
      <c r="E178" s="19">
        <f>SUMIFS('BY INTERVENTION'!$E:$E,'BY INTERVENTION'!$B:$B,B178,'BY INTERVENTION'!$C:$C,C178,'BY INTERVENTION'!$AA:$AA,D178)</f>
        <v>642048.3366667</v>
      </c>
      <c r="F178" s="20">
        <f>SUMIFS('BY INTERVENTION'!$F:$F,'BY INTERVENTION'!$B:$B,B178,'BY INTERVENTION'!$C:$C,C178,'BY INTERVENTION'!$AA:$AA,D178)</f>
        <v>10000</v>
      </c>
      <c r="G178" s="15"/>
      <c r="H178" s="15"/>
      <c r="I178" s="15"/>
      <c r="J178" s="16" t="s">
        <v>75</v>
      </c>
    </row>
    <row r="179" ht="30" customHeight="1" spans="1:10">
      <c r="A179" s="12" t="s">
        <v>25</v>
      </c>
      <c r="B179" s="12" t="s">
        <v>236</v>
      </c>
      <c r="C179" s="13" t="s">
        <v>300</v>
      </c>
      <c r="D179" s="12" t="s">
        <v>519</v>
      </c>
      <c r="E179" s="19">
        <f>SUMIFS('BY INTERVENTION'!$E:$E,'BY INTERVENTION'!$B:$B,B179,'BY INTERVENTION'!$C:$C,C179,'BY INTERVENTION'!$AA:$AA,D179)</f>
        <v>15000</v>
      </c>
      <c r="F179" s="20">
        <f>SUMIFS('BY INTERVENTION'!$F:$F,'BY INTERVENTION'!$B:$B,B179,'BY INTERVENTION'!$C:$C,C179,'BY INTERVENTION'!$AA:$AA,D179)</f>
        <v>0</v>
      </c>
      <c r="G179" s="15"/>
      <c r="H179" s="15"/>
      <c r="I179" s="15"/>
      <c r="J179" s="16" t="s">
        <v>29</v>
      </c>
    </row>
    <row r="180" ht="30" customHeight="1" spans="1:10">
      <c r="A180" s="12" t="s">
        <v>25</v>
      </c>
      <c r="B180" s="12" t="s">
        <v>236</v>
      </c>
      <c r="C180" s="13" t="s">
        <v>300</v>
      </c>
      <c r="D180" s="12" t="s">
        <v>522</v>
      </c>
      <c r="E180" s="19">
        <f>SUMIFS('BY INTERVENTION'!$E:$E,'BY INTERVENTION'!$B:$B,B180,'BY INTERVENTION'!$C:$C,C180,'BY INTERVENTION'!$AA:$AA,D180)</f>
        <v>74222.5408</v>
      </c>
      <c r="F180" s="20">
        <f>SUMIFS('BY INTERVENTION'!$F:$F,'BY INTERVENTION'!$B:$B,B180,'BY INTERVENTION'!$C:$C,C180,'BY INTERVENTION'!$AA:$AA,D180)</f>
        <v>1176.9894</v>
      </c>
      <c r="G180" s="15"/>
      <c r="H180" s="15"/>
      <c r="I180" s="15"/>
      <c r="J180" s="16" t="s">
        <v>64</v>
      </c>
    </row>
    <row r="181" ht="30" customHeight="1" spans="1:10">
      <c r="A181" s="12" t="s">
        <v>25</v>
      </c>
      <c r="B181" s="12" t="s">
        <v>236</v>
      </c>
      <c r="C181" s="13" t="s">
        <v>303</v>
      </c>
      <c r="D181" s="12" t="s">
        <v>530</v>
      </c>
      <c r="E181" s="19">
        <f>SUMIFS('BY INTERVENTION'!$E:$E,'BY INTERVENTION'!$B:$B,B181,'BY INTERVENTION'!$C:$C,C181,'BY INTERVENTION'!$AA:$AA,D181)</f>
        <v>0</v>
      </c>
      <c r="F181" s="20">
        <f>SUMIFS('BY INTERVENTION'!$F:$F,'BY INTERVENTION'!$B:$B,B181,'BY INTERVENTION'!$C:$C,C181,'BY INTERVENTION'!$AA:$AA,D181)</f>
        <v>0</v>
      </c>
      <c r="G181" s="15"/>
      <c r="H181" s="15"/>
      <c r="I181" s="15"/>
      <c r="J181" s="16" t="s">
        <v>75</v>
      </c>
    </row>
    <row r="182" ht="30" customHeight="1" spans="1:10">
      <c r="A182" s="12" t="s">
        <v>25</v>
      </c>
      <c r="B182" s="12" t="s">
        <v>236</v>
      </c>
      <c r="C182" s="13" t="s">
        <v>303</v>
      </c>
      <c r="D182" s="12" t="s">
        <v>519</v>
      </c>
      <c r="E182" s="19">
        <f>SUMIFS('BY INTERVENTION'!$E:$E,'BY INTERVENTION'!$B:$B,B182,'BY INTERVENTION'!$C:$C,C182,'BY INTERVENTION'!$AA:$AA,D182)</f>
        <v>50000</v>
      </c>
      <c r="F182" s="20">
        <f>SUMIFS('BY INTERVENTION'!$F:$F,'BY INTERVENTION'!$B:$B,B182,'BY INTERVENTION'!$C:$C,C182,'BY INTERVENTION'!$AA:$AA,D182)</f>
        <v>57135</v>
      </c>
      <c r="G182" s="15"/>
      <c r="H182" s="15"/>
      <c r="I182" s="15"/>
      <c r="J182" s="16" t="s">
        <v>29</v>
      </c>
    </row>
    <row r="183" ht="30" customHeight="1" spans="1:10">
      <c r="A183" s="12" t="s">
        <v>25</v>
      </c>
      <c r="B183" s="12" t="s">
        <v>236</v>
      </c>
      <c r="C183" s="13" t="s">
        <v>303</v>
      </c>
      <c r="D183" s="12" t="s">
        <v>535</v>
      </c>
      <c r="E183" s="19">
        <f>SUMIFS('BY INTERVENTION'!$E:$E,'BY INTERVENTION'!$B:$B,B183,'BY INTERVENTION'!$C:$C,C183,'BY INTERVENTION'!$AA:$AA,D183)</f>
        <v>7000</v>
      </c>
      <c r="F183" s="20">
        <f>SUMIFS('BY INTERVENTION'!$F:$F,'BY INTERVENTION'!$B:$B,B183,'BY INTERVENTION'!$C:$C,C183,'BY INTERVENTION'!$AA:$AA,D183)</f>
        <v>0</v>
      </c>
      <c r="G183" s="15"/>
      <c r="H183" s="15"/>
      <c r="I183" s="15"/>
      <c r="J183" s="16" t="s">
        <v>288</v>
      </c>
    </row>
    <row r="184" ht="30" customHeight="1" spans="1:10">
      <c r="A184" s="12" t="s">
        <v>25</v>
      </c>
      <c r="B184" s="12" t="s">
        <v>236</v>
      </c>
      <c r="C184" s="13" t="s">
        <v>303</v>
      </c>
      <c r="D184" s="12" t="s">
        <v>522</v>
      </c>
      <c r="E184" s="19">
        <f>SUMIFS('BY INTERVENTION'!$E:$E,'BY INTERVENTION'!$B:$B,B184,'BY INTERVENTION'!$C:$C,C184,'BY INTERVENTION'!$AA:$AA,D184)</f>
        <v>80841.2058</v>
      </c>
      <c r="F184" s="20">
        <f>SUMIFS('BY INTERVENTION'!$F:$F,'BY INTERVENTION'!$B:$B,B184,'BY INTERVENTION'!$C:$C,C184,'BY INTERVENTION'!$AA:$AA,D184)</f>
        <v>1186.7999</v>
      </c>
      <c r="G184" s="15"/>
      <c r="H184" s="15"/>
      <c r="I184" s="15"/>
      <c r="J184" s="16" t="s">
        <v>64</v>
      </c>
    </row>
    <row r="185" ht="30" customHeight="1" spans="1:10">
      <c r="A185" s="12" t="s">
        <v>25</v>
      </c>
      <c r="B185" s="12" t="s">
        <v>236</v>
      </c>
      <c r="C185" s="13" t="s">
        <v>309</v>
      </c>
      <c r="D185" s="12" t="s">
        <v>530</v>
      </c>
      <c r="E185" s="19">
        <f>SUMIFS('BY INTERVENTION'!$E:$E,'BY INTERVENTION'!$B:$B,B185,'BY INTERVENTION'!$C:$C,C185,'BY INTERVENTION'!$AA:$AA,D185)</f>
        <v>23260</v>
      </c>
      <c r="F185" s="20">
        <f>SUMIFS('BY INTERVENTION'!$F:$F,'BY INTERVENTION'!$B:$B,B185,'BY INTERVENTION'!$C:$C,C185,'BY INTERVENTION'!$AA:$AA,D185)</f>
        <v>0</v>
      </c>
      <c r="G185" s="15"/>
      <c r="H185" s="15"/>
      <c r="I185" s="15"/>
      <c r="J185" s="16" t="s">
        <v>75</v>
      </c>
    </row>
    <row r="186" ht="30" customHeight="1" spans="1:10">
      <c r="A186" s="12" t="s">
        <v>25</v>
      </c>
      <c r="B186" s="12" t="s">
        <v>236</v>
      </c>
      <c r="C186" s="13" t="s">
        <v>309</v>
      </c>
      <c r="D186" s="12" t="s">
        <v>519</v>
      </c>
      <c r="E186" s="19">
        <f>SUMIFS('BY INTERVENTION'!$E:$E,'BY INTERVENTION'!$B:$B,B186,'BY INTERVENTION'!$C:$C,C186,'BY INTERVENTION'!$AA:$AA,D186)</f>
        <v>0</v>
      </c>
      <c r="F186" s="20">
        <f>SUMIFS('BY INTERVENTION'!$F:$F,'BY INTERVENTION'!$B:$B,B186,'BY INTERVENTION'!$C:$C,C186,'BY INTERVENTION'!$AA:$AA,D186)</f>
        <v>23100</v>
      </c>
      <c r="G186" s="15"/>
      <c r="H186" s="15"/>
      <c r="I186" s="15"/>
      <c r="J186" s="16" t="s">
        <v>29</v>
      </c>
    </row>
    <row r="187" ht="30" customHeight="1" spans="1:10">
      <c r="A187" s="12" t="s">
        <v>25</v>
      </c>
      <c r="B187" s="12" t="s">
        <v>236</v>
      </c>
      <c r="C187" s="13" t="s">
        <v>309</v>
      </c>
      <c r="D187" s="12" t="s">
        <v>520</v>
      </c>
      <c r="E187" s="19">
        <f>SUMIFS('BY INTERVENTION'!$E:$E,'BY INTERVENTION'!$B:$B,B187,'BY INTERVENTION'!$C:$C,C187,'BY INTERVENTION'!$AA:$AA,D187)</f>
        <v>356.25</v>
      </c>
      <c r="F187" s="20">
        <f>SUMIFS('BY INTERVENTION'!$F:$F,'BY INTERVENTION'!$B:$B,B187,'BY INTERVENTION'!$C:$C,C187,'BY INTERVENTION'!$AA:$AA,D187)</f>
        <v>0</v>
      </c>
      <c r="G187" s="15"/>
      <c r="H187" s="15"/>
      <c r="I187" s="15"/>
      <c r="J187" s="16" t="s">
        <v>35</v>
      </c>
    </row>
    <row r="188" ht="30" customHeight="1" spans="1:10">
      <c r="A188" s="12" t="s">
        <v>25</v>
      </c>
      <c r="B188" s="12" t="s">
        <v>236</v>
      </c>
      <c r="C188" s="13" t="s">
        <v>309</v>
      </c>
      <c r="D188" s="12" t="s">
        <v>531</v>
      </c>
      <c r="E188" s="19">
        <f>SUMIFS('BY INTERVENTION'!$E:$E,'BY INTERVENTION'!$B:$B,B188,'BY INTERVENTION'!$C:$C,C188,'BY INTERVENTION'!$AA:$AA,D188)</f>
        <v>5400</v>
      </c>
      <c r="F188" s="20">
        <f>SUMIFS('BY INTERVENTION'!$F:$F,'BY INTERVENTION'!$B:$B,B188,'BY INTERVENTION'!$C:$C,C188,'BY INTERVENTION'!$AA:$AA,D188)</f>
        <v>0</v>
      </c>
      <c r="G188" s="15"/>
      <c r="H188" s="15"/>
      <c r="I188" s="15"/>
      <c r="J188" s="16" t="s">
        <v>80</v>
      </c>
    </row>
    <row r="189" ht="30" customHeight="1" spans="1:10">
      <c r="A189" s="12" t="s">
        <v>25</v>
      </c>
      <c r="B189" s="12" t="s">
        <v>236</v>
      </c>
      <c r="C189" s="13" t="s">
        <v>309</v>
      </c>
      <c r="D189" s="12" t="s">
        <v>522</v>
      </c>
      <c r="E189" s="19">
        <f>SUMIFS('BY INTERVENTION'!$E:$E,'BY INTERVENTION'!$B:$B,B189,'BY INTERVENTION'!$C:$C,C189,'BY INTERVENTION'!$AA:$AA,D189)</f>
        <v>26698.3709</v>
      </c>
      <c r="F189" s="20">
        <f>SUMIFS('BY INTERVENTION'!$F:$F,'BY INTERVENTION'!$B:$B,B189,'BY INTERVENTION'!$C:$C,C189,'BY INTERVENTION'!$AA:$AA,D189)</f>
        <v>423.3714</v>
      </c>
      <c r="G189" s="15"/>
      <c r="H189" s="15"/>
      <c r="I189" s="15"/>
      <c r="J189" s="16" t="s">
        <v>64</v>
      </c>
    </row>
    <row r="190" ht="30" customHeight="1" spans="1:10">
      <c r="A190" s="12" t="s">
        <v>25</v>
      </c>
      <c r="B190" s="12" t="s">
        <v>236</v>
      </c>
      <c r="C190" s="13" t="s">
        <v>312</v>
      </c>
      <c r="D190" s="12" t="s">
        <v>530</v>
      </c>
      <c r="E190" s="19">
        <f>SUMIFS('BY INTERVENTION'!$E:$E,'BY INTERVENTION'!$B:$B,B190,'BY INTERVENTION'!$C:$C,C190,'BY INTERVENTION'!$AA:$AA,D190)</f>
        <v>0</v>
      </c>
      <c r="F190" s="20">
        <f>SUMIFS('BY INTERVENTION'!$F:$F,'BY INTERVENTION'!$B:$B,B190,'BY INTERVENTION'!$C:$C,C190,'BY INTERVENTION'!$AA:$AA,D190)</f>
        <v>0</v>
      </c>
      <c r="G190" s="15"/>
      <c r="H190" s="15"/>
      <c r="I190" s="15"/>
      <c r="J190" s="16" t="s">
        <v>75</v>
      </c>
    </row>
    <row r="191" ht="30" customHeight="1" spans="1:10">
      <c r="A191" s="12" t="s">
        <v>25</v>
      </c>
      <c r="B191" s="12" t="s">
        <v>236</v>
      </c>
      <c r="C191" s="13" t="s">
        <v>312</v>
      </c>
      <c r="D191" s="12" t="s">
        <v>519</v>
      </c>
      <c r="E191" s="19">
        <f>SUMIFS('BY INTERVENTION'!$E:$E,'BY INTERVENTION'!$B:$B,B191,'BY INTERVENTION'!$C:$C,C191,'BY INTERVENTION'!$AA:$AA,D191)</f>
        <v>18000</v>
      </c>
      <c r="F191" s="20">
        <f>SUMIFS('BY INTERVENTION'!$F:$F,'BY INTERVENTION'!$B:$B,B191,'BY INTERVENTION'!$C:$C,C191,'BY INTERVENTION'!$AA:$AA,D191)</f>
        <v>0</v>
      </c>
      <c r="G191" s="15"/>
      <c r="H191" s="15"/>
      <c r="I191" s="15"/>
      <c r="J191" s="16" t="s">
        <v>29</v>
      </c>
    </row>
    <row r="192" ht="45" customHeight="1" spans="1:10">
      <c r="A192" s="12" t="s">
        <v>25</v>
      </c>
      <c r="B192" s="12" t="s">
        <v>236</v>
      </c>
      <c r="C192" s="13" t="s">
        <v>312</v>
      </c>
      <c r="D192" s="12" t="s">
        <v>520</v>
      </c>
      <c r="E192" s="19">
        <f>SUMIFS('BY INTERVENTION'!$E:$E,'BY INTERVENTION'!$B:$B,B192,'BY INTERVENTION'!$C:$C,C192,'BY INTERVENTION'!$AA:$AA,D192)</f>
        <v>5755.82</v>
      </c>
      <c r="F192" s="20">
        <f>SUMIFS('BY INTERVENTION'!$F:$F,'BY INTERVENTION'!$B:$B,B192,'BY INTERVENTION'!$C:$C,C192,'BY INTERVENTION'!$AA:$AA,D192)</f>
        <v>0</v>
      </c>
      <c r="G192" s="15"/>
      <c r="H192" s="15"/>
      <c r="I192" s="15"/>
      <c r="J192" s="16" t="s">
        <v>35</v>
      </c>
    </row>
    <row r="193" ht="30" customHeight="1" spans="1:10">
      <c r="A193" s="12" t="s">
        <v>25</v>
      </c>
      <c r="B193" s="12" t="s">
        <v>236</v>
      </c>
      <c r="C193" s="13" t="s">
        <v>312</v>
      </c>
      <c r="D193" s="12" t="s">
        <v>522</v>
      </c>
      <c r="E193" s="19">
        <f>SUMIFS('BY INTERVENTION'!$E:$E,'BY INTERVENTION'!$B:$B,B193,'BY INTERVENTION'!$C:$C,C193,'BY INTERVENTION'!$AA:$AA,D193)</f>
        <v>55046.1855</v>
      </c>
      <c r="F193" s="20">
        <f>SUMIFS('BY INTERVENTION'!$F:$F,'BY INTERVENTION'!$B:$B,B193,'BY INTERVENTION'!$C:$C,C193,'BY INTERVENTION'!$AA:$AA,D193)</f>
        <v>698.4656</v>
      </c>
      <c r="G193" s="15"/>
      <c r="H193" s="15"/>
      <c r="I193" s="15"/>
      <c r="J193" s="16" t="s">
        <v>64</v>
      </c>
    </row>
    <row r="194" ht="30" customHeight="1" spans="1:10">
      <c r="A194" s="12" t="s">
        <v>25</v>
      </c>
      <c r="B194" s="12" t="s">
        <v>236</v>
      </c>
      <c r="C194" s="13" t="s">
        <v>312</v>
      </c>
      <c r="D194" s="12" t="s">
        <v>521</v>
      </c>
      <c r="E194" s="19">
        <f>SUMIFS('BY INTERVENTION'!$E:$E,'BY INTERVENTION'!$B:$B,B194,'BY INTERVENTION'!$C:$C,C194,'BY INTERVENTION'!$AA:$AA,D194)</f>
        <v>1677</v>
      </c>
      <c r="F194" s="20">
        <f>SUMIFS('BY INTERVENTION'!$F:$F,'BY INTERVENTION'!$B:$B,B194,'BY INTERVENTION'!$C:$C,C194,'BY INTERVENTION'!$AA:$AA,D194)</f>
        <v>0</v>
      </c>
      <c r="G194" s="15"/>
      <c r="H194" s="15"/>
      <c r="I194" s="15"/>
      <c r="J194" s="16" t="s">
        <v>33</v>
      </c>
    </row>
    <row r="195" ht="30" customHeight="1" spans="1:10">
      <c r="A195" s="12" t="s">
        <v>25</v>
      </c>
      <c r="B195" s="12" t="s">
        <v>236</v>
      </c>
      <c r="C195" s="13" t="s">
        <v>314</v>
      </c>
      <c r="D195" s="12" t="s">
        <v>522</v>
      </c>
      <c r="E195" s="19">
        <f>SUMIFS('BY INTERVENTION'!$E:$E,'BY INTERVENTION'!$B:$B,B195,'BY INTERVENTION'!$C:$C,C195,'BY INTERVENTION'!$AA:$AA,D195)</f>
        <v>11714.157</v>
      </c>
      <c r="F195" s="20">
        <f>SUMIFS('BY INTERVENTION'!$F:$F,'BY INTERVENTION'!$B:$B,B195,'BY INTERVENTION'!$C:$C,C195,'BY INTERVENTION'!$AA:$AA,D195)</f>
        <v>117.8084</v>
      </c>
      <c r="G195" s="15"/>
      <c r="H195" s="15"/>
      <c r="I195" s="15"/>
      <c r="J195" s="16" t="s">
        <v>64</v>
      </c>
    </row>
    <row r="196" ht="30" customHeight="1" spans="1:10">
      <c r="A196" s="12" t="s">
        <v>25</v>
      </c>
      <c r="B196" s="12" t="s">
        <v>236</v>
      </c>
      <c r="C196" s="13" t="s">
        <v>316</v>
      </c>
      <c r="D196" s="12" t="s">
        <v>530</v>
      </c>
      <c r="E196" s="19">
        <f>SUMIFS('BY INTERVENTION'!$E:$E,'BY INTERVENTION'!$B:$B,B196,'BY INTERVENTION'!$C:$C,C196,'BY INTERVENTION'!$AA:$AA,D196)</f>
        <v>4250</v>
      </c>
      <c r="F196" s="20">
        <f>SUMIFS('BY INTERVENTION'!$F:$F,'BY INTERVENTION'!$B:$B,B196,'BY INTERVENTION'!$C:$C,C196,'BY INTERVENTION'!$AA:$AA,D196)</f>
        <v>0</v>
      </c>
      <c r="G196" s="15"/>
      <c r="H196" s="15"/>
      <c r="I196" s="15"/>
      <c r="J196" s="16" t="s">
        <v>75</v>
      </c>
    </row>
    <row r="197" ht="30" customHeight="1" spans="1:10">
      <c r="A197" s="12" t="s">
        <v>25</v>
      </c>
      <c r="B197" s="12" t="s">
        <v>236</v>
      </c>
      <c r="C197" s="13" t="s">
        <v>316</v>
      </c>
      <c r="D197" s="12" t="s">
        <v>519</v>
      </c>
      <c r="E197" s="19">
        <f>SUMIFS('BY INTERVENTION'!$E:$E,'BY INTERVENTION'!$B:$B,B197,'BY INTERVENTION'!$C:$C,C197,'BY INTERVENTION'!$AA:$AA,D197)</f>
        <v>27000</v>
      </c>
      <c r="F197" s="20">
        <f>SUMIFS('BY INTERVENTION'!$F:$F,'BY INTERVENTION'!$B:$B,B197,'BY INTERVENTION'!$C:$C,C197,'BY INTERVENTION'!$AA:$AA,D197)</f>
        <v>18300</v>
      </c>
      <c r="G197" s="15"/>
      <c r="H197" s="15"/>
      <c r="I197" s="15"/>
      <c r="J197" s="16" t="s">
        <v>29</v>
      </c>
    </row>
    <row r="198" ht="30" customHeight="1" spans="1:10">
      <c r="A198" s="12" t="s">
        <v>25</v>
      </c>
      <c r="B198" s="12" t="s">
        <v>236</v>
      </c>
      <c r="C198" s="13" t="s">
        <v>316</v>
      </c>
      <c r="D198" s="12" t="s">
        <v>520</v>
      </c>
      <c r="E198" s="19">
        <f>SUMIFS('BY INTERVENTION'!$E:$E,'BY INTERVENTION'!$B:$B,B198,'BY INTERVENTION'!$C:$C,C198,'BY INTERVENTION'!$AA:$AA,D198)</f>
        <v>4955.82</v>
      </c>
      <c r="F198" s="20">
        <f>SUMIFS('BY INTERVENTION'!$F:$F,'BY INTERVENTION'!$B:$B,B198,'BY INTERVENTION'!$C:$C,C198,'BY INTERVENTION'!$AA:$AA,D198)</f>
        <v>0</v>
      </c>
      <c r="G198" s="15"/>
      <c r="H198" s="15"/>
      <c r="I198" s="15"/>
      <c r="J198" s="16" t="s">
        <v>35</v>
      </c>
    </row>
    <row r="199" ht="30" customHeight="1" spans="1:10">
      <c r="A199" s="12" t="s">
        <v>25</v>
      </c>
      <c r="B199" s="12" t="s">
        <v>236</v>
      </c>
      <c r="C199" s="13" t="s">
        <v>316</v>
      </c>
      <c r="D199" s="12" t="s">
        <v>531</v>
      </c>
      <c r="E199" s="19">
        <f>SUMIFS('BY INTERVENTION'!$E:$E,'BY INTERVENTION'!$B:$B,B199,'BY INTERVENTION'!$C:$C,C199,'BY INTERVENTION'!$AA:$AA,D199)</f>
        <v>6500</v>
      </c>
      <c r="F199" s="20">
        <f>SUMIFS('BY INTERVENTION'!$F:$F,'BY INTERVENTION'!$B:$B,B199,'BY INTERVENTION'!$C:$C,C199,'BY INTERVENTION'!$AA:$AA,D199)</f>
        <v>0</v>
      </c>
      <c r="G199" s="15"/>
      <c r="H199" s="15"/>
      <c r="I199" s="15"/>
      <c r="J199" s="16" t="s">
        <v>80</v>
      </c>
    </row>
    <row r="200" ht="30" customHeight="1" spans="1:10">
      <c r="A200" s="12" t="s">
        <v>25</v>
      </c>
      <c r="B200" s="12" t="s">
        <v>236</v>
      </c>
      <c r="C200" s="13" t="s">
        <v>316</v>
      </c>
      <c r="D200" s="12" t="s">
        <v>522</v>
      </c>
      <c r="E200" s="19">
        <f>SUMIFS('BY INTERVENTION'!$E:$E,'BY INTERVENTION'!$B:$B,B200,'BY INTERVENTION'!$C:$C,C200,'BY INTERVENTION'!$AA:$AA,D200)</f>
        <v>161728.9511</v>
      </c>
      <c r="F200" s="20">
        <f>SUMIFS('BY INTERVENTION'!$F:$F,'BY INTERVENTION'!$B:$B,B200,'BY INTERVENTION'!$C:$C,C200,'BY INTERVENTION'!$AA:$AA,D200)</f>
        <v>2370.3735</v>
      </c>
      <c r="G200" s="15"/>
      <c r="H200" s="15"/>
      <c r="I200" s="15"/>
      <c r="J200" s="16" t="s">
        <v>64</v>
      </c>
    </row>
    <row r="201" ht="30" customHeight="1" spans="1:10">
      <c r="A201" s="12" t="s">
        <v>25</v>
      </c>
      <c r="B201" s="12" t="s">
        <v>236</v>
      </c>
      <c r="C201" s="13" t="s">
        <v>321</v>
      </c>
      <c r="D201" s="12" t="s">
        <v>530</v>
      </c>
      <c r="E201" s="19">
        <f>SUMIFS('BY INTERVENTION'!$E:$E,'BY INTERVENTION'!$B:$B,B201,'BY INTERVENTION'!$C:$C,C201,'BY INTERVENTION'!$AA:$AA,D201)</f>
        <v>0</v>
      </c>
      <c r="F201" s="20">
        <f>SUMIFS('BY INTERVENTION'!$F:$F,'BY INTERVENTION'!$B:$B,B201,'BY INTERVENTION'!$C:$C,C201,'BY INTERVENTION'!$AA:$AA,D201)</f>
        <v>0</v>
      </c>
      <c r="G201" s="15"/>
      <c r="H201" s="15"/>
      <c r="I201" s="15"/>
      <c r="J201" s="16" t="s">
        <v>75</v>
      </c>
    </row>
    <row r="202" ht="30" customHeight="1" spans="1:10">
      <c r="A202" s="12" t="s">
        <v>25</v>
      </c>
      <c r="B202" s="12" t="s">
        <v>236</v>
      </c>
      <c r="C202" s="13" t="s">
        <v>321</v>
      </c>
      <c r="D202" s="12" t="s">
        <v>519</v>
      </c>
      <c r="E202" s="19">
        <f>SUMIFS('BY INTERVENTION'!$E:$E,'BY INTERVENTION'!$B:$B,B202,'BY INTERVENTION'!$C:$C,C202,'BY INTERVENTION'!$AA:$AA,D202)</f>
        <v>15000</v>
      </c>
      <c r="F202" s="20">
        <f>SUMIFS('BY INTERVENTION'!$F:$F,'BY INTERVENTION'!$B:$B,B202,'BY INTERVENTION'!$C:$C,C202,'BY INTERVENTION'!$AA:$AA,D202)</f>
        <v>114000</v>
      </c>
      <c r="G202" s="15"/>
      <c r="H202" s="15"/>
      <c r="I202" s="15"/>
      <c r="J202" s="16" t="s">
        <v>29</v>
      </c>
    </row>
    <row r="203" ht="45" customHeight="1" spans="1:10">
      <c r="A203" s="12" t="s">
        <v>25</v>
      </c>
      <c r="B203" s="12" t="s">
        <v>236</v>
      </c>
      <c r="C203" s="13" t="s">
        <v>321</v>
      </c>
      <c r="D203" s="12" t="s">
        <v>522</v>
      </c>
      <c r="E203" s="19">
        <f>SUMIFS('BY INTERVENTION'!$E:$E,'BY INTERVENTION'!$B:$B,B203,'BY INTERVENTION'!$C:$C,C203,'BY INTERVENTION'!$AA:$AA,D203)</f>
        <v>63685.786</v>
      </c>
      <c r="F203" s="20">
        <f>SUMIFS('BY INTERVENTION'!$F:$F,'BY INTERVENTION'!$B:$B,B203,'BY INTERVENTION'!$C:$C,C203,'BY INTERVENTION'!$AA:$AA,D203)</f>
        <v>697.5078</v>
      </c>
      <c r="G203" s="15"/>
      <c r="H203" s="15"/>
      <c r="I203" s="15"/>
      <c r="J203" s="16" t="s">
        <v>64</v>
      </c>
    </row>
    <row r="204" ht="30" customHeight="1" spans="1:10">
      <c r="A204" s="12" t="s">
        <v>25</v>
      </c>
      <c r="B204" s="12" t="s">
        <v>236</v>
      </c>
      <c r="C204" s="13" t="s">
        <v>329</v>
      </c>
      <c r="D204" s="12" t="s">
        <v>519</v>
      </c>
      <c r="E204" s="19">
        <f>SUMIFS('BY INTERVENTION'!$E:$E,'BY INTERVENTION'!$B:$B,B204,'BY INTERVENTION'!$C:$C,C204,'BY INTERVENTION'!$AA:$AA,D204)</f>
        <v>33000</v>
      </c>
      <c r="F204" s="20">
        <f>SUMIFS('BY INTERVENTION'!$F:$F,'BY INTERVENTION'!$B:$B,B204,'BY INTERVENTION'!$C:$C,C204,'BY INTERVENTION'!$AA:$AA,D204)</f>
        <v>0</v>
      </c>
      <c r="G204" s="15"/>
      <c r="H204" s="15"/>
      <c r="I204" s="15"/>
      <c r="J204" s="16" t="s">
        <v>29</v>
      </c>
    </row>
    <row r="205" ht="30" customHeight="1" spans="1:10">
      <c r="A205" s="12" t="s">
        <v>25</v>
      </c>
      <c r="B205" s="12" t="s">
        <v>236</v>
      </c>
      <c r="C205" s="13" t="s">
        <v>329</v>
      </c>
      <c r="D205" s="12" t="s">
        <v>522</v>
      </c>
      <c r="E205" s="19">
        <f>SUMIFS('BY INTERVENTION'!$E:$E,'BY INTERVENTION'!$B:$B,B205,'BY INTERVENTION'!$C:$C,C205,'BY INTERVENTION'!$AA:$AA,D205)</f>
        <v>8001.4005</v>
      </c>
      <c r="F205" s="20">
        <f>SUMIFS('BY INTERVENTION'!$F:$F,'BY INTERVENTION'!$B:$B,B205,'BY INTERVENTION'!$C:$C,C205,'BY INTERVENTION'!$AA:$AA,D205)</f>
        <v>126.8828</v>
      </c>
      <c r="G205" s="15"/>
      <c r="H205" s="15"/>
      <c r="I205" s="15"/>
      <c r="J205" s="16" t="s">
        <v>64</v>
      </c>
    </row>
    <row r="206" ht="30" customHeight="1" spans="1:10">
      <c r="A206" s="12" t="s">
        <v>25</v>
      </c>
      <c r="B206" s="12" t="s">
        <v>236</v>
      </c>
      <c r="C206" s="13" t="s">
        <v>331</v>
      </c>
      <c r="D206" s="12" t="s">
        <v>519</v>
      </c>
      <c r="E206" s="19">
        <f>SUMIFS('BY INTERVENTION'!$E:$E,'BY INTERVENTION'!$B:$B,B206,'BY INTERVENTION'!$C:$C,C206,'BY INTERVENTION'!$AA:$AA,D206)</f>
        <v>18000</v>
      </c>
      <c r="F206" s="20">
        <f>SUMIFS('BY INTERVENTION'!$F:$F,'BY INTERVENTION'!$B:$B,B206,'BY INTERVENTION'!$C:$C,C206,'BY INTERVENTION'!$AA:$AA,D206)</f>
        <v>99150</v>
      </c>
      <c r="G206" s="15"/>
      <c r="H206" s="15"/>
      <c r="I206" s="15"/>
      <c r="J206" s="16" t="s">
        <v>29</v>
      </c>
    </row>
    <row r="207" ht="30" customHeight="1" spans="1:10">
      <c r="A207" s="12" t="s">
        <v>25</v>
      </c>
      <c r="B207" s="12" t="s">
        <v>236</v>
      </c>
      <c r="C207" s="13" t="s">
        <v>331</v>
      </c>
      <c r="D207" s="12" t="s">
        <v>520</v>
      </c>
      <c r="E207" s="19">
        <f>SUMIFS('BY INTERVENTION'!$E:$E,'BY INTERVENTION'!$B:$B,B207,'BY INTERVENTION'!$C:$C,C207,'BY INTERVENTION'!$AA:$AA,D207)</f>
        <v>555.64595</v>
      </c>
      <c r="F207" s="20">
        <f>SUMIFS('BY INTERVENTION'!$F:$F,'BY INTERVENTION'!$B:$B,B207,'BY INTERVENTION'!$C:$C,C207,'BY INTERVENTION'!$AA:$AA,D207)</f>
        <v>0</v>
      </c>
      <c r="G207" s="15"/>
      <c r="H207" s="15"/>
      <c r="I207" s="15"/>
      <c r="J207" s="16" t="s">
        <v>35</v>
      </c>
    </row>
    <row r="208" ht="30" customHeight="1" spans="1:10">
      <c r="A208" s="12" t="s">
        <v>25</v>
      </c>
      <c r="B208" s="12" t="s">
        <v>236</v>
      </c>
      <c r="C208" s="13" t="s">
        <v>331</v>
      </c>
      <c r="D208" s="12" t="s">
        <v>522</v>
      </c>
      <c r="E208" s="19">
        <f>SUMIFS('BY INTERVENTION'!$E:$E,'BY INTERVENTION'!$B:$B,B208,'BY INTERVENTION'!$C:$C,C208,'BY INTERVENTION'!$AA:$AA,D208)</f>
        <v>161970.2045</v>
      </c>
      <c r="F208" s="20">
        <f>SUMIFS('BY INTERVENTION'!$F:$F,'BY INTERVENTION'!$B:$B,B208,'BY INTERVENTION'!$C:$C,C208,'BY INTERVENTION'!$AA:$AA,D208)</f>
        <v>2167.2578</v>
      </c>
      <c r="G208" s="15"/>
      <c r="H208" s="15"/>
      <c r="I208" s="15"/>
      <c r="J208" s="16" t="s">
        <v>64</v>
      </c>
    </row>
    <row r="209" ht="30" customHeight="1" spans="1:10">
      <c r="A209" s="12" t="s">
        <v>25</v>
      </c>
      <c r="B209" s="12" t="s">
        <v>236</v>
      </c>
      <c r="C209" s="13" t="s">
        <v>338</v>
      </c>
      <c r="D209" s="12" t="s">
        <v>530</v>
      </c>
      <c r="E209" s="19">
        <f>SUMIFS('BY INTERVENTION'!$E:$E,'BY INTERVENTION'!$B:$B,B209,'BY INTERVENTION'!$C:$C,C209,'BY INTERVENTION'!$AA:$AA,D209)</f>
        <v>14750</v>
      </c>
      <c r="F209" s="20">
        <f>SUMIFS('BY INTERVENTION'!$F:$F,'BY INTERVENTION'!$B:$B,B209,'BY INTERVENTION'!$C:$C,C209,'BY INTERVENTION'!$AA:$AA,D209)</f>
        <v>8760</v>
      </c>
      <c r="G209" s="15"/>
      <c r="H209" s="15"/>
      <c r="I209" s="15"/>
      <c r="J209" s="16" t="s">
        <v>75</v>
      </c>
    </row>
    <row r="210" ht="30" customHeight="1" spans="1:10">
      <c r="A210" s="12" t="s">
        <v>25</v>
      </c>
      <c r="B210" s="12" t="s">
        <v>236</v>
      </c>
      <c r="C210" s="13" t="s">
        <v>338</v>
      </c>
      <c r="D210" s="12" t="s">
        <v>519</v>
      </c>
      <c r="E210" s="19">
        <f>SUMIFS('BY INTERVENTION'!$E:$E,'BY INTERVENTION'!$B:$B,B210,'BY INTERVENTION'!$C:$C,C210,'BY INTERVENTION'!$AA:$AA,D210)</f>
        <v>12000</v>
      </c>
      <c r="F210" s="20">
        <f>SUMIFS('BY INTERVENTION'!$F:$F,'BY INTERVENTION'!$B:$B,B210,'BY INTERVENTION'!$C:$C,C210,'BY INTERVENTION'!$AA:$AA,D210)</f>
        <v>15000</v>
      </c>
      <c r="G210" s="15"/>
      <c r="H210" s="15"/>
      <c r="I210" s="15"/>
      <c r="J210" s="16" t="s">
        <v>29</v>
      </c>
    </row>
    <row r="211" ht="30" customHeight="1" spans="1:10">
      <c r="A211" s="12" t="s">
        <v>25</v>
      </c>
      <c r="B211" s="12" t="s">
        <v>236</v>
      </c>
      <c r="C211" s="13" t="s">
        <v>338</v>
      </c>
      <c r="D211" s="12" t="s">
        <v>522</v>
      </c>
      <c r="E211" s="19">
        <f>SUMIFS('BY INTERVENTION'!$E:$E,'BY INTERVENTION'!$B:$B,B211,'BY INTERVENTION'!$C:$C,C211,'BY INTERVENTION'!$AA:$AA,D211)</f>
        <v>25316.0816</v>
      </c>
      <c r="F211" s="20">
        <f>SUMIFS('BY INTERVENTION'!$F:$F,'BY INTERVENTION'!$B:$B,B211,'BY INTERVENTION'!$C:$C,C211,'BY INTERVENTION'!$AA:$AA,D211)</f>
        <v>401.4516</v>
      </c>
      <c r="G211" s="15"/>
      <c r="H211" s="15"/>
      <c r="I211" s="15"/>
      <c r="J211" s="16" t="s">
        <v>64</v>
      </c>
    </row>
    <row r="212" ht="30" customHeight="1" spans="1:10">
      <c r="A212" s="12" t="s">
        <v>25</v>
      </c>
      <c r="B212" s="12" t="s">
        <v>236</v>
      </c>
      <c r="C212" s="13" t="s">
        <v>342</v>
      </c>
      <c r="D212" s="12" t="s">
        <v>530</v>
      </c>
      <c r="E212" s="19">
        <f>SUMIFS('BY INTERVENTION'!$E:$E,'BY INTERVENTION'!$B:$B,B212,'BY INTERVENTION'!$C:$C,C212,'BY INTERVENTION'!$AA:$AA,D212)</f>
        <v>5750</v>
      </c>
      <c r="F212" s="20">
        <f>SUMIFS('BY INTERVENTION'!$F:$F,'BY INTERVENTION'!$B:$B,B212,'BY INTERVENTION'!$C:$C,C212,'BY INTERVENTION'!$AA:$AA,D212)</f>
        <v>0</v>
      </c>
      <c r="G212" s="15"/>
      <c r="H212" s="15"/>
      <c r="I212" s="15"/>
      <c r="J212" s="16" t="s">
        <v>75</v>
      </c>
    </row>
    <row r="213" ht="30" customHeight="1" spans="1:10">
      <c r="A213" s="12" t="s">
        <v>25</v>
      </c>
      <c r="B213" s="12" t="s">
        <v>236</v>
      </c>
      <c r="C213" s="13" t="s">
        <v>342</v>
      </c>
      <c r="D213" s="12" t="s">
        <v>519</v>
      </c>
      <c r="E213" s="19">
        <f>SUMIFS('BY INTERVENTION'!$E:$E,'BY INTERVENTION'!$B:$B,B213,'BY INTERVENTION'!$C:$C,C213,'BY INTERVENTION'!$AA:$AA,D213)</f>
        <v>35000</v>
      </c>
      <c r="F213" s="20">
        <f>SUMIFS('BY INTERVENTION'!$F:$F,'BY INTERVENTION'!$B:$B,B213,'BY INTERVENTION'!$C:$C,C213,'BY INTERVENTION'!$AA:$AA,D213)</f>
        <v>0</v>
      </c>
      <c r="G213" s="15"/>
      <c r="H213" s="15"/>
      <c r="I213" s="15"/>
      <c r="J213" s="16" t="s">
        <v>29</v>
      </c>
    </row>
    <row r="214" ht="30" customHeight="1" spans="1:10">
      <c r="A214" s="12" t="s">
        <v>25</v>
      </c>
      <c r="B214" s="12" t="s">
        <v>236</v>
      </c>
      <c r="C214" s="13" t="s">
        <v>342</v>
      </c>
      <c r="D214" s="12" t="s">
        <v>520</v>
      </c>
      <c r="E214" s="19">
        <f>SUMIFS('BY INTERVENTION'!$E:$E,'BY INTERVENTION'!$B:$B,B214,'BY INTERVENTION'!$C:$C,C214,'BY INTERVENTION'!$AA:$AA,D214)</f>
        <v>41139.6957</v>
      </c>
      <c r="F214" s="20">
        <f>SUMIFS('BY INTERVENTION'!$F:$F,'BY INTERVENTION'!$B:$B,B214,'BY INTERVENTION'!$C:$C,C214,'BY INTERVENTION'!$AA:$AA,D214)</f>
        <v>0</v>
      </c>
      <c r="G214" s="15"/>
      <c r="H214" s="15"/>
      <c r="I214" s="15"/>
      <c r="J214" s="16" t="s">
        <v>35</v>
      </c>
    </row>
    <row r="215" ht="30" customHeight="1" spans="1:10">
      <c r="A215" s="12" t="s">
        <v>25</v>
      </c>
      <c r="B215" s="12" t="s">
        <v>236</v>
      </c>
      <c r="C215" s="13" t="s">
        <v>342</v>
      </c>
      <c r="D215" s="12" t="s">
        <v>532</v>
      </c>
      <c r="E215" s="19">
        <f>SUMIFS('BY INTERVENTION'!$E:$E,'BY INTERVENTION'!$B:$B,B215,'BY INTERVENTION'!$C:$C,C215,'BY INTERVENTION'!$AA:$AA,D215)</f>
        <v>18750</v>
      </c>
      <c r="F215" s="20">
        <f>SUMIFS('BY INTERVENTION'!$F:$F,'BY INTERVENTION'!$B:$B,B215,'BY INTERVENTION'!$C:$C,C215,'BY INTERVENTION'!$AA:$AA,D215)</f>
        <v>0</v>
      </c>
      <c r="G215" s="15"/>
      <c r="H215" s="15"/>
      <c r="I215" s="15"/>
      <c r="J215" s="16" t="s">
        <v>134</v>
      </c>
    </row>
    <row r="216" ht="30" customHeight="1" spans="1:10">
      <c r="A216" s="12" t="s">
        <v>25</v>
      </c>
      <c r="B216" s="12" t="s">
        <v>236</v>
      </c>
      <c r="C216" s="13" t="s">
        <v>342</v>
      </c>
      <c r="D216" s="12" t="s">
        <v>522</v>
      </c>
      <c r="E216" s="19">
        <f>SUMIFS('BY INTERVENTION'!$E:$E,'BY INTERVENTION'!$B:$B,B216,'BY INTERVENTION'!$C:$C,C216,'BY INTERVENTION'!$AA:$AA,D216)</f>
        <v>98275.4432</v>
      </c>
      <c r="F216" s="20">
        <f>SUMIFS('BY INTERVENTION'!$F:$F,'BY INTERVENTION'!$B:$B,B216,'BY INTERVENTION'!$C:$C,C216,'BY INTERVENTION'!$AA:$AA,D216)</f>
        <v>1540.9667</v>
      </c>
      <c r="G216" s="15"/>
      <c r="H216" s="15"/>
      <c r="I216" s="15"/>
      <c r="J216" s="16" t="s">
        <v>64</v>
      </c>
    </row>
    <row r="217" ht="30" customHeight="1" spans="1:10">
      <c r="A217" s="12" t="s">
        <v>25</v>
      </c>
      <c r="B217" s="12" t="s">
        <v>236</v>
      </c>
      <c r="C217" s="13" t="s">
        <v>342</v>
      </c>
      <c r="D217" s="12" t="s">
        <v>534</v>
      </c>
      <c r="E217" s="19">
        <f>SUMIFS('BY INTERVENTION'!$E:$E,'BY INTERVENTION'!$B:$B,B217,'BY INTERVENTION'!$C:$C,C217,'BY INTERVENTION'!$AA:$AA,D217)</f>
        <v>4400</v>
      </c>
      <c r="F217" s="20">
        <f>SUMIFS('BY INTERVENTION'!$F:$F,'BY INTERVENTION'!$B:$B,B217,'BY INTERVENTION'!$C:$C,C217,'BY INTERVENTION'!$AA:$AA,D217)</f>
        <v>0</v>
      </c>
      <c r="G217" s="15"/>
      <c r="H217" s="15"/>
      <c r="I217" s="15"/>
      <c r="J217" s="16" t="s">
        <v>196</v>
      </c>
    </row>
    <row r="218" ht="45" customHeight="1" spans="1:10">
      <c r="A218" s="12" t="s">
        <v>25</v>
      </c>
      <c r="B218" s="12" t="s">
        <v>236</v>
      </c>
      <c r="C218" s="13" t="s">
        <v>350</v>
      </c>
      <c r="D218" s="12" t="s">
        <v>530</v>
      </c>
      <c r="E218" s="19">
        <f>SUMIFS('BY INTERVENTION'!$E:$E,'BY INTERVENTION'!$B:$B,B218,'BY INTERVENTION'!$C:$C,C218,'BY INTERVENTION'!$AA:$AA,D218)</f>
        <v>16490</v>
      </c>
      <c r="F218" s="20">
        <f>SUMIFS('BY INTERVENTION'!$F:$F,'BY INTERVENTION'!$B:$B,B218,'BY INTERVENTION'!$C:$C,C218,'BY INTERVENTION'!$AA:$AA,D218)</f>
        <v>0</v>
      </c>
      <c r="G218" s="15"/>
      <c r="H218" s="15"/>
      <c r="I218" s="15"/>
      <c r="J218" s="16" t="s">
        <v>96</v>
      </c>
    </row>
    <row r="219" ht="45" customHeight="1" spans="1:10">
      <c r="A219" s="12" t="s">
        <v>25</v>
      </c>
      <c r="B219" s="12" t="s">
        <v>236</v>
      </c>
      <c r="C219" s="13" t="s">
        <v>350</v>
      </c>
      <c r="D219" s="12" t="s">
        <v>519</v>
      </c>
      <c r="E219" s="19">
        <f>SUMIFS('BY INTERVENTION'!$E:$E,'BY INTERVENTION'!$B:$B,B219,'BY INTERVENTION'!$C:$C,C219,'BY INTERVENTION'!$AA:$AA,D219)</f>
        <v>33000</v>
      </c>
      <c r="F219" s="20">
        <f>SUMIFS('BY INTERVENTION'!$F:$F,'BY INTERVENTION'!$B:$B,B219,'BY INTERVENTION'!$C:$C,C219,'BY INTERVENTION'!$AA:$AA,D219)</f>
        <v>0</v>
      </c>
      <c r="G219" s="15"/>
      <c r="H219" s="15"/>
      <c r="I219" s="15"/>
      <c r="J219" s="16" t="s">
        <v>29</v>
      </c>
    </row>
    <row r="220" ht="30" customHeight="1" spans="1:10">
      <c r="A220" s="12" t="s">
        <v>25</v>
      </c>
      <c r="B220" s="12" t="s">
        <v>236</v>
      </c>
      <c r="C220" s="13" t="s">
        <v>350</v>
      </c>
      <c r="D220" s="12" t="s">
        <v>522</v>
      </c>
      <c r="E220" s="19">
        <f>SUMIFS('BY INTERVENTION'!$E:$E,'BY INTERVENTION'!$B:$B,B220,'BY INTERVENTION'!$C:$C,C220,'BY INTERVENTION'!$AA:$AA,D220)</f>
        <v>8473.208</v>
      </c>
      <c r="F220" s="20">
        <f>SUMIFS('BY INTERVENTION'!$F:$F,'BY INTERVENTION'!$B:$B,B220,'BY INTERVENTION'!$C:$C,C220,'BY INTERVENTION'!$AA:$AA,D220)</f>
        <v>134.3645</v>
      </c>
      <c r="G220" s="15"/>
      <c r="H220" s="15"/>
      <c r="I220" s="15"/>
      <c r="J220" s="16" t="s">
        <v>64</v>
      </c>
    </row>
    <row r="221" ht="45" customHeight="1" spans="1:10">
      <c r="A221" s="12" t="s">
        <v>25</v>
      </c>
      <c r="B221" s="12" t="s">
        <v>236</v>
      </c>
      <c r="C221" s="13" t="s">
        <v>352</v>
      </c>
      <c r="D221" s="12" t="s">
        <v>530</v>
      </c>
      <c r="E221" s="19">
        <f>SUMIFS('BY INTERVENTION'!$E:$E,'BY INTERVENTION'!$B:$B,B221,'BY INTERVENTION'!$C:$C,C221,'BY INTERVENTION'!$AA:$AA,D221)</f>
        <v>1605</v>
      </c>
      <c r="F221" s="20">
        <f>SUMIFS('BY INTERVENTION'!$F:$F,'BY INTERVENTION'!$B:$B,B221,'BY INTERVENTION'!$C:$C,C221,'BY INTERVENTION'!$AA:$AA,D221)</f>
        <v>8760</v>
      </c>
      <c r="G221" s="15"/>
      <c r="H221" s="15"/>
      <c r="I221" s="15"/>
      <c r="J221" s="16" t="s">
        <v>75</v>
      </c>
    </row>
    <row r="222" ht="45" customHeight="1" spans="1:10">
      <c r="A222" s="12" t="s">
        <v>25</v>
      </c>
      <c r="B222" s="12" t="s">
        <v>236</v>
      </c>
      <c r="C222" s="13" t="s">
        <v>352</v>
      </c>
      <c r="D222" s="12" t="s">
        <v>519</v>
      </c>
      <c r="E222" s="19">
        <f>SUMIFS('BY INTERVENTION'!$E:$E,'BY INTERVENTION'!$B:$B,B222,'BY INTERVENTION'!$C:$C,C222,'BY INTERVENTION'!$AA:$AA,D222)</f>
        <v>30000</v>
      </c>
      <c r="F222" s="20">
        <f>SUMIFS('BY INTERVENTION'!$F:$F,'BY INTERVENTION'!$B:$B,B222,'BY INTERVENTION'!$C:$C,C222,'BY INTERVENTION'!$AA:$AA,D222)</f>
        <v>80000</v>
      </c>
      <c r="G222" s="15"/>
      <c r="H222" s="15"/>
      <c r="I222" s="15"/>
      <c r="J222" s="16" t="s">
        <v>29</v>
      </c>
    </row>
    <row r="223" ht="30" customHeight="1" spans="1:10">
      <c r="A223" s="12" t="s">
        <v>25</v>
      </c>
      <c r="B223" s="12" t="s">
        <v>236</v>
      </c>
      <c r="C223" s="13" t="s">
        <v>352</v>
      </c>
      <c r="D223" s="12" t="s">
        <v>532</v>
      </c>
      <c r="E223" s="19">
        <f>SUMIFS('BY INTERVENTION'!$E:$E,'BY INTERVENTION'!$B:$B,B223,'BY INTERVENTION'!$C:$C,C223,'BY INTERVENTION'!$AA:$AA,D223)</f>
        <v>3750</v>
      </c>
      <c r="F223" s="20">
        <f>SUMIFS('BY INTERVENTION'!$F:$F,'BY INTERVENTION'!$B:$B,B223,'BY INTERVENTION'!$C:$C,C223,'BY INTERVENTION'!$AA:$AA,D223)</f>
        <v>0</v>
      </c>
      <c r="G223" s="15"/>
      <c r="H223" s="15"/>
      <c r="I223" s="15"/>
      <c r="J223" s="16" t="s">
        <v>134</v>
      </c>
    </row>
    <row r="224" ht="45" customHeight="1" spans="1:10">
      <c r="A224" s="12" t="s">
        <v>25</v>
      </c>
      <c r="B224" s="12" t="s">
        <v>236</v>
      </c>
      <c r="C224" s="13" t="s">
        <v>352</v>
      </c>
      <c r="D224" s="12" t="s">
        <v>531</v>
      </c>
      <c r="E224" s="19">
        <f>SUMIFS('BY INTERVENTION'!$E:$E,'BY INTERVENTION'!$B:$B,B224,'BY INTERVENTION'!$C:$C,C224,'BY INTERVENTION'!$AA:$AA,D224)</f>
        <v>5000</v>
      </c>
      <c r="F224" s="20">
        <f>SUMIFS('BY INTERVENTION'!$F:$F,'BY INTERVENTION'!$B:$B,B224,'BY INTERVENTION'!$C:$C,C224,'BY INTERVENTION'!$AA:$AA,D224)</f>
        <v>0</v>
      </c>
      <c r="G224" s="15"/>
      <c r="H224" s="15"/>
      <c r="I224" s="15"/>
      <c r="J224" s="16" t="s">
        <v>80</v>
      </c>
    </row>
    <row r="225" ht="45" customHeight="1" spans="1:10">
      <c r="A225" s="12" t="s">
        <v>25</v>
      </c>
      <c r="B225" s="12" t="s">
        <v>236</v>
      </c>
      <c r="C225" s="13" t="s">
        <v>352</v>
      </c>
      <c r="D225" s="12" t="s">
        <v>522</v>
      </c>
      <c r="E225" s="19">
        <f>SUMIFS('BY INTERVENTION'!$E:$E,'BY INTERVENTION'!$B:$B,B225,'BY INTERVENTION'!$C:$C,C225,'BY INTERVENTION'!$AA:$AA,D225)</f>
        <v>18478.151</v>
      </c>
      <c r="F225" s="20">
        <f>SUMIFS('BY INTERVENTION'!$F:$F,'BY INTERVENTION'!$B:$B,B225,'BY INTERVENTION'!$C:$C,C225,'BY INTERVENTION'!$AA:$AA,D225)</f>
        <v>293.0186</v>
      </c>
      <c r="G225" s="15"/>
      <c r="H225" s="15"/>
      <c r="I225" s="15"/>
      <c r="J225" s="16" t="s">
        <v>64</v>
      </c>
    </row>
    <row r="226" ht="45" customHeight="1" spans="1:10">
      <c r="A226" s="12" t="s">
        <v>25</v>
      </c>
      <c r="B226" s="12" t="s">
        <v>236</v>
      </c>
      <c r="C226" s="13" t="s">
        <v>356</v>
      </c>
      <c r="D226" s="12" t="s">
        <v>530</v>
      </c>
      <c r="E226" s="19">
        <f>SUMIFS('BY INTERVENTION'!$E:$E,'BY INTERVENTION'!$B:$B,B226,'BY INTERVENTION'!$C:$C,C226,'BY INTERVENTION'!$AA:$AA,D226)</f>
        <v>0</v>
      </c>
      <c r="F226" s="20">
        <f>SUMIFS('BY INTERVENTION'!$F:$F,'BY INTERVENTION'!$B:$B,B226,'BY INTERVENTION'!$C:$C,C226,'BY INTERVENTION'!$AA:$AA,D226)</f>
        <v>0</v>
      </c>
      <c r="G226" s="15"/>
      <c r="H226" s="15"/>
      <c r="I226" s="15"/>
      <c r="J226" s="16" t="s">
        <v>75</v>
      </c>
    </row>
    <row r="227" ht="45" customHeight="1" spans="1:10">
      <c r="A227" s="12" t="s">
        <v>25</v>
      </c>
      <c r="B227" s="12" t="s">
        <v>236</v>
      </c>
      <c r="C227" s="13" t="s">
        <v>356</v>
      </c>
      <c r="D227" s="12" t="s">
        <v>519</v>
      </c>
      <c r="E227" s="19">
        <f>SUMIFS('BY INTERVENTION'!$E:$E,'BY INTERVENTION'!$B:$B,B227,'BY INTERVENTION'!$C:$C,C227,'BY INTERVENTION'!$AA:$AA,D227)</f>
        <v>57000</v>
      </c>
      <c r="F227" s="20">
        <f>SUMIFS('BY INTERVENTION'!$F:$F,'BY INTERVENTION'!$B:$B,B227,'BY INTERVENTION'!$C:$C,C227,'BY INTERVENTION'!$AA:$AA,D227)</f>
        <v>30000</v>
      </c>
      <c r="G227" s="15"/>
      <c r="H227" s="15"/>
      <c r="I227" s="15"/>
      <c r="J227" s="16" t="s">
        <v>29</v>
      </c>
    </row>
    <row r="228" ht="45" customHeight="1" spans="1:10">
      <c r="A228" s="12" t="s">
        <v>25</v>
      </c>
      <c r="B228" s="12" t="s">
        <v>236</v>
      </c>
      <c r="C228" s="13" t="s">
        <v>356</v>
      </c>
      <c r="D228" s="12" t="s">
        <v>522</v>
      </c>
      <c r="E228" s="19">
        <f>SUMIFS('BY INTERVENTION'!$E:$E,'BY INTERVENTION'!$B:$B,B228,'BY INTERVENTION'!$C:$C,C228,'BY INTERVENTION'!$AA:$AA,D228)</f>
        <v>74232.2048</v>
      </c>
      <c r="F228" s="20">
        <f>SUMIFS('BY INTERVENTION'!$F:$F,'BY INTERVENTION'!$B:$B,B228,'BY INTERVENTION'!$C:$C,C228,'BY INTERVENTION'!$AA:$AA,D228)</f>
        <v>1177.1427</v>
      </c>
      <c r="G228" s="15"/>
      <c r="H228" s="15"/>
      <c r="I228" s="15"/>
      <c r="J228" s="16" t="s">
        <v>64</v>
      </c>
    </row>
    <row r="229" ht="45" customHeight="1" spans="1:10">
      <c r="A229" s="12" t="s">
        <v>25</v>
      </c>
      <c r="B229" s="12" t="s">
        <v>236</v>
      </c>
      <c r="C229" s="13" t="s">
        <v>356</v>
      </c>
      <c r="D229" s="12" t="s">
        <v>521</v>
      </c>
      <c r="E229" s="19">
        <f>SUMIFS('BY INTERVENTION'!$E:$E,'BY INTERVENTION'!$B:$B,B229,'BY INTERVENTION'!$C:$C,C229,'BY INTERVENTION'!$AA:$AA,D229)</f>
        <v>1866</v>
      </c>
      <c r="F229" s="20">
        <f>SUMIFS('BY INTERVENTION'!$F:$F,'BY INTERVENTION'!$B:$B,B229,'BY INTERVENTION'!$C:$C,C229,'BY INTERVENTION'!$AA:$AA,D229)</f>
        <v>0</v>
      </c>
      <c r="G229" s="15"/>
      <c r="H229" s="15"/>
      <c r="I229" s="15"/>
      <c r="J229" s="16" t="s">
        <v>33</v>
      </c>
    </row>
    <row r="230" ht="45" customHeight="1" spans="1:10">
      <c r="A230" s="12" t="s">
        <v>25</v>
      </c>
      <c r="B230" s="12" t="s">
        <v>236</v>
      </c>
      <c r="C230" s="13" t="s">
        <v>361</v>
      </c>
      <c r="D230" s="12" t="s">
        <v>530</v>
      </c>
      <c r="E230" s="19">
        <f>SUMIFS('BY INTERVENTION'!$E:$E,'BY INTERVENTION'!$B:$B,B230,'BY INTERVENTION'!$C:$C,C230,'BY INTERVENTION'!$AA:$AA,D230)</f>
        <v>0</v>
      </c>
      <c r="F230" s="20">
        <f>SUMIFS('BY INTERVENTION'!$F:$F,'BY INTERVENTION'!$B:$B,B230,'BY INTERVENTION'!$C:$C,C230,'BY INTERVENTION'!$AA:$AA,D230)</f>
        <v>0</v>
      </c>
      <c r="G230" s="15"/>
      <c r="H230" s="15"/>
      <c r="I230" s="15"/>
      <c r="J230" s="16" t="s">
        <v>75</v>
      </c>
    </row>
    <row r="231" ht="45" customHeight="1" spans="1:10">
      <c r="A231" s="12" t="s">
        <v>25</v>
      </c>
      <c r="B231" s="12" t="s">
        <v>236</v>
      </c>
      <c r="C231" s="13" t="s">
        <v>361</v>
      </c>
      <c r="D231" s="12" t="s">
        <v>519</v>
      </c>
      <c r="E231" s="19">
        <f>SUMIFS('BY INTERVENTION'!$E:$E,'BY INTERVENTION'!$B:$B,B231,'BY INTERVENTION'!$C:$C,C231,'BY INTERVENTION'!$AA:$AA,D231)</f>
        <v>15000</v>
      </c>
      <c r="F231" s="20">
        <f>SUMIFS('BY INTERVENTION'!$F:$F,'BY INTERVENTION'!$B:$B,B231,'BY INTERVENTION'!$C:$C,C231,'BY INTERVENTION'!$AA:$AA,D231)</f>
        <v>0</v>
      </c>
      <c r="G231" s="15"/>
      <c r="H231" s="15"/>
      <c r="I231" s="15"/>
      <c r="J231" s="16" t="s">
        <v>29</v>
      </c>
    </row>
    <row r="232" ht="45" customHeight="1" spans="1:10">
      <c r="A232" s="12" t="s">
        <v>25</v>
      </c>
      <c r="B232" s="12" t="s">
        <v>236</v>
      </c>
      <c r="C232" s="13" t="s">
        <v>361</v>
      </c>
      <c r="D232" s="12" t="s">
        <v>520</v>
      </c>
      <c r="E232" s="19">
        <f>SUMIFS('BY INTERVENTION'!$E:$E,'BY INTERVENTION'!$B:$B,B232,'BY INTERVENTION'!$C:$C,C232,'BY INTERVENTION'!$AA:$AA,D232)</f>
        <v>22029.82</v>
      </c>
      <c r="F232" s="20">
        <f>SUMIFS('BY INTERVENTION'!$F:$F,'BY INTERVENTION'!$B:$B,B232,'BY INTERVENTION'!$C:$C,C232,'BY INTERVENTION'!$AA:$AA,D232)</f>
        <v>0</v>
      </c>
      <c r="G232" s="15"/>
      <c r="H232" s="15"/>
      <c r="I232" s="15"/>
      <c r="J232" s="16" t="s">
        <v>35</v>
      </c>
    </row>
    <row r="233" ht="45" customHeight="1" spans="1:10">
      <c r="A233" s="12" t="s">
        <v>25</v>
      </c>
      <c r="B233" s="12" t="s">
        <v>236</v>
      </c>
      <c r="C233" s="13" t="s">
        <v>361</v>
      </c>
      <c r="D233" s="12" t="s">
        <v>522</v>
      </c>
      <c r="E233" s="19">
        <f>SUMIFS('BY INTERVENTION'!$E:$E,'BY INTERVENTION'!$B:$B,B233,'BY INTERVENTION'!$C:$C,C233,'BY INTERVENTION'!$AA:$AA,D233)</f>
        <v>121178.9541</v>
      </c>
      <c r="F233" s="20">
        <f>SUMIFS('BY INTERVENTION'!$F:$F,'BY INTERVENTION'!$B:$B,B233,'BY INTERVENTION'!$C:$C,C233,'BY INTERVENTION'!$AA:$AA,D233)</f>
        <v>1921.6042</v>
      </c>
      <c r="G233" s="15"/>
      <c r="H233" s="15"/>
      <c r="I233" s="15"/>
      <c r="J233" s="16" t="s">
        <v>64</v>
      </c>
    </row>
    <row r="234" ht="45" customHeight="1" spans="1:10">
      <c r="A234" s="12" t="s">
        <v>25</v>
      </c>
      <c r="B234" s="12" t="s">
        <v>236</v>
      </c>
      <c r="C234" s="13" t="s">
        <v>363</v>
      </c>
      <c r="D234" s="12" t="s">
        <v>530</v>
      </c>
      <c r="E234" s="19">
        <f>SUMIFS('BY INTERVENTION'!$E:$E,'BY INTERVENTION'!$B:$B,B234,'BY INTERVENTION'!$C:$C,C234,'BY INTERVENTION'!$AA:$AA,D234)</f>
        <v>4515</v>
      </c>
      <c r="F234" s="20">
        <f>SUMIFS('BY INTERVENTION'!$F:$F,'BY INTERVENTION'!$B:$B,B234,'BY INTERVENTION'!$C:$C,C234,'BY INTERVENTION'!$AA:$AA,D234)</f>
        <v>1000</v>
      </c>
      <c r="G234" s="15"/>
      <c r="H234" s="15"/>
      <c r="I234" s="15"/>
      <c r="J234" s="16" t="s">
        <v>75</v>
      </c>
    </row>
    <row r="235" ht="45" customHeight="1" spans="1:10">
      <c r="A235" s="12" t="s">
        <v>25</v>
      </c>
      <c r="B235" s="12" t="s">
        <v>236</v>
      </c>
      <c r="C235" s="13" t="s">
        <v>363</v>
      </c>
      <c r="D235" s="12" t="s">
        <v>519</v>
      </c>
      <c r="E235" s="19">
        <f>SUMIFS('BY INTERVENTION'!$E:$E,'BY INTERVENTION'!$B:$B,B235,'BY INTERVENTION'!$C:$C,C235,'BY INTERVENTION'!$AA:$AA,D235)</f>
        <v>30000</v>
      </c>
      <c r="F235" s="20">
        <f>SUMIFS('BY INTERVENTION'!$F:$F,'BY INTERVENTION'!$B:$B,B235,'BY INTERVENTION'!$C:$C,C235,'BY INTERVENTION'!$AA:$AA,D235)</f>
        <v>0</v>
      </c>
      <c r="G235" s="15"/>
      <c r="H235" s="15"/>
      <c r="I235" s="15"/>
      <c r="J235" s="16" t="s">
        <v>29</v>
      </c>
    </row>
    <row r="236" ht="45" customHeight="1" spans="1:10">
      <c r="A236" s="12" t="s">
        <v>25</v>
      </c>
      <c r="B236" s="12" t="s">
        <v>236</v>
      </c>
      <c r="C236" s="13" t="s">
        <v>363</v>
      </c>
      <c r="D236" s="12" t="s">
        <v>531</v>
      </c>
      <c r="E236" s="19">
        <f>SUMIFS('BY INTERVENTION'!$E:$E,'BY INTERVENTION'!$B:$B,B236,'BY INTERVENTION'!$C:$C,C236,'BY INTERVENTION'!$AA:$AA,D236)</f>
        <v>5400</v>
      </c>
      <c r="F236" s="20">
        <f>SUMIFS('BY INTERVENTION'!$F:$F,'BY INTERVENTION'!$B:$B,B236,'BY INTERVENTION'!$C:$C,C236,'BY INTERVENTION'!$AA:$AA,D236)</f>
        <v>0</v>
      </c>
      <c r="G236" s="15"/>
      <c r="H236" s="15"/>
      <c r="I236" s="15"/>
      <c r="J236" s="16" t="s">
        <v>80</v>
      </c>
    </row>
    <row r="237" ht="45" customHeight="1" spans="1:10">
      <c r="A237" s="12" t="s">
        <v>25</v>
      </c>
      <c r="B237" s="12" t="s">
        <v>236</v>
      </c>
      <c r="C237" s="13" t="s">
        <v>363</v>
      </c>
      <c r="D237" s="12" t="s">
        <v>522</v>
      </c>
      <c r="E237" s="19">
        <f>SUMIFS('BY INTERVENTION'!$E:$E,'BY INTERVENTION'!$B:$B,B237,'BY INTERVENTION'!$C:$C,C237,'BY INTERVENTION'!$AA:$AA,D237)</f>
        <v>70653.7703</v>
      </c>
      <c r="F237" s="20">
        <f>SUMIFS('BY INTERVENTION'!$F:$F,'BY INTERVENTION'!$B:$B,B237,'BY INTERVENTION'!$C:$C,C237,'BY INTERVENTION'!$AA:$AA,D237)</f>
        <v>755.6732</v>
      </c>
      <c r="G237" s="15"/>
      <c r="H237" s="15"/>
      <c r="I237" s="15"/>
      <c r="J237" s="16" t="s">
        <v>64</v>
      </c>
    </row>
    <row r="238" ht="30" customHeight="1" spans="1:10">
      <c r="A238" s="12" t="s">
        <v>25</v>
      </c>
      <c r="B238" s="12" t="s">
        <v>236</v>
      </c>
      <c r="C238" s="13" t="s">
        <v>363</v>
      </c>
      <c r="D238" s="12" t="s">
        <v>533</v>
      </c>
      <c r="E238" s="19">
        <f>SUMIFS('BY INTERVENTION'!$E:$E,'BY INTERVENTION'!$B:$B,B238,'BY INTERVENTION'!$C:$C,C238,'BY INTERVENTION'!$AA:$AA,D238)</f>
        <v>2244.508</v>
      </c>
      <c r="F238" s="20">
        <f>SUMIFS('BY INTERVENTION'!$F:$F,'BY INTERVENTION'!$B:$B,B238,'BY INTERVENTION'!$C:$C,C238,'BY INTERVENTION'!$AA:$AA,D238)</f>
        <v>0</v>
      </c>
      <c r="G238" s="15"/>
      <c r="H238" s="15"/>
      <c r="I238" s="15"/>
      <c r="J238" s="16" t="s">
        <v>166</v>
      </c>
    </row>
    <row r="239" ht="45" customHeight="1" spans="1:10">
      <c r="A239" s="12" t="s">
        <v>25</v>
      </c>
      <c r="B239" s="12" t="s">
        <v>236</v>
      </c>
      <c r="C239" s="13" t="s">
        <v>368</v>
      </c>
      <c r="D239" s="12" t="s">
        <v>530</v>
      </c>
      <c r="E239" s="19">
        <f>SUMIFS('BY INTERVENTION'!$E:$E,'BY INTERVENTION'!$B:$B,B239,'BY INTERVENTION'!$C:$C,C239,'BY INTERVENTION'!$AA:$AA,D239)</f>
        <v>0</v>
      </c>
      <c r="F239" s="20">
        <f>SUMIFS('BY INTERVENTION'!$F:$F,'BY INTERVENTION'!$B:$B,B239,'BY INTERVENTION'!$C:$C,C239,'BY INTERVENTION'!$AA:$AA,D239)</f>
        <v>0</v>
      </c>
      <c r="G239" s="15"/>
      <c r="H239" s="15"/>
      <c r="I239" s="15"/>
      <c r="J239" s="16" t="s">
        <v>75</v>
      </c>
    </row>
    <row r="240" ht="45" customHeight="1" spans="1:10">
      <c r="A240" s="12" t="s">
        <v>25</v>
      </c>
      <c r="B240" s="12" t="s">
        <v>236</v>
      </c>
      <c r="C240" s="13" t="s">
        <v>368</v>
      </c>
      <c r="D240" s="12" t="s">
        <v>519</v>
      </c>
      <c r="E240" s="19">
        <f>SUMIFS('BY INTERVENTION'!$E:$E,'BY INTERVENTION'!$B:$B,B240,'BY INTERVENTION'!$C:$C,C240,'BY INTERVENTION'!$AA:$AA,D240)</f>
        <v>22500</v>
      </c>
      <c r="F240" s="20">
        <f>SUMIFS('BY INTERVENTION'!$F:$F,'BY INTERVENTION'!$B:$B,B240,'BY INTERVENTION'!$C:$C,C240,'BY INTERVENTION'!$AA:$AA,D240)</f>
        <v>61500</v>
      </c>
      <c r="G240" s="15"/>
      <c r="H240" s="15"/>
      <c r="I240" s="15"/>
      <c r="J240" s="16" t="s">
        <v>29</v>
      </c>
    </row>
    <row r="241" ht="45" customHeight="1" spans="1:10">
      <c r="A241" s="12" t="s">
        <v>25</v>
      </c>
      <c r="B241" s="12" t="s">
        <v>236</v>
      </c>
      <c r="C241" s="13" t="s">
        <v>368</v>
      </c>
      <c r="D241" s="12" t="s">
        <v>520</v>
      </c>
      <c r="E241" s="19">
        <f>SUMIFS('BY INTERVENTION'!$E:$E,'BY INTERVENTION'!$B:$B,B241,'BY INTERVENTION'!$C:$C,C241,'BY INTERVENTION'!$AA:$AA,D241)</f>
        <v>34029.82</v>
      </c>
      <c r="F241" s="20">
        <f>SUMIFS('BY INTERVENTION'!$F:$F,'BY INTERVENTION'!$B:$B,B241,'BY INTERVENTION'!$C:$C,C241,'BY INTERVENTION'!$AA:$AA,D241)</f>
        <v>0</v>
      </c>
      <c r="G241" s="15"/>
      <c r="H241" s="15"/>
      <c r="I241" s="15"/>
      <c r="J241" s="16" t="s">
        <v>35</v>
      </c>
    </row>
    <row r="242" ht="45" customHeight="1" spans="1:10">
      <c r="A242" s="12" t="s">
        <v>25</v>
      </c>
      <c r="B242" s="12" t="s">
        <v>236</v>
      </c>
      <c r="C242" s="13" t="s">
        <v>368</v>
      </c>
      <c r="D242" s="12" t="s">
        <v>522</v>
      </c>
      <c r="E242" s="19">
        <f>SUMIFS('BY INTERVENTION'!$E:$E,'BY INTERVENTION'!$B:$B,B242,'BY INTERVENTION'!$C:$C,C242,'BY INTERVENTION'!$AA:$AA,D242)</f>
        <v>163506.0783</v>
      </c>
      <c r="F242" s="20">
        <f>SUMIFS('BY INTERVENTION'!$F:$F,'BY INTERVENTION'!$B:$B,B242,'BY INTERVENTION'!$C:$C,C242,'BY INTERVENTION'!$AA:$AA,D242)</f>
        <v>2364.4606</v>
      </c>
      <c r="G242" s="15"/>
      <c r="H242" s="15"/>
      <c r="I242" s="15"/>
      <c r="J242" s="16" t="s">
        <v>64</v>
      </c>
    </row>
    <row r="243" ht="45" customHeight="1" spans="1:10">
      <c r="A243" s="12" t="s">
        <v>25</v>
      </c>
      <c r="B243" s="12" t="s">
        <v>236</v>
      </c>
      <c r="C243" s="13" t="s">
        <v>376</v>
      </c>
      <c r="D243" s="12" t="s">
        <v>530</v>
      </c>
      <c r="E243" s="19">
        <f>SUMIFS('BY INTERVENTION'!$E:$E,'BY INTERVENTION'!$B:$B,B243,'BY INTERVENTION'!$C:$C,C243,'BY INTERVENTION'!$AA:$AA,D243)</f>
        <v>12715</v>
      </c>
      <c r="F243" s="20">
        <f>SUMIFS('BY INTERVENTION'!$F:$F,'BY INTERVENTION'!$B:$B,B243,'BY INTERVENTION'!$C:$C,C243,'BY INTERVENTION'!$AA:$AA,D243)</f>
        <v>0</v>
      </c>
      <c r="G243" s="15"/>
      <c r="H243" s="15"/>
      <c r="I243" s="15"/>
      <c r="J243" s="16" t="s">
        <v>75</v>
      </c>
    </row>
    <row r="244" spans="1:10">
      <c r="A244" s="12" t="s">
        <v>25</v>
      </c>
      <c r="B244" s="12" t="s">
        <v>236</v>
      </c>
      <c r="C244" s="13" t="s">
        <v>376</v>
      </c>
      <c r="D244" s="12" t="s">
        <v>519</v>
      </c>
      <c r="E244" s="19">
        <f>SUMIFS('BY INTERVENTION'!$E:$E,'BY INTERVENTION'!$B:$B,B244,'BY INTERVENTION'!$C:$C,C244,'BY INTERVENTION'!$AA:$AA,D244)</f>
        <v>0</v>
      </c>
      <c r="F244" s="20">
        <f>SUMIFS('BY INTERVENTION'!$F:$F,'BY INTERVENTION'!$B:$B,B244,'BY INTERVENTION'!$C:$C,C244,'BY INTERVENTION'!$AA:$AA,D244)</f>
        <v>78000</v>
      </c>
      <c r="G244" s="15"/>
      <c r="H244" s="15"/>
      <c r="I244" s="15"/>
      <c r="J244" s="16" t="s">
        <v>29</v>
      </c>
    </row>
    <row r="245" spans="1:10">
      <c r="A245" s="12" t="s">
        <v>25</v>
      </c>
      <c r="B245" s="12" t="s">
        <v>236</v>
      </c>
      <c r="C245" s="13" t="s">
        <v>376</v>
      </c>
      <c r="D245" s="12" t="s">
        <v>522</v>
      </c>
      <c r="E245" s="19">
        <f>SUMIFS('BY INTERVENTION'!$E:$E,'BY INTERVENTION'!$B:$B,B245,'BY INTERVENTION'!$C:$C,C245,'BY INTERVENTION'!$AA:$AA,D245)</f>
        <v>15633.155</v>
      </c>
      <c r="F245" s="20">
        <f>SUMIFS('BY INTERVENTION'!$F:$F,'BY INTERVENTION'!$B:$B,B245,'BY INTERVENTION'!$C:$C,C245,'BY INTERVENTION'!$AA:$AA,D245)</f>
        <v>247.9039</v>
      </c>
      <c r="G245" s="15"/>
      <c r="H245" s="15"/>
      <c r="I245" s="15"/>
      <c r="J245" s="16" t="s">
        <v>64</v>
      </c>
    </row>
    <row r="246" spans="1:10">
      <c r="A246" s="12" t="s">
        <v>25</v>
      </c>
      <c r="B246" s="12" t="s">
        <v>236</v>
      </c>
      <c r="C246" s="13" t="s">
        <v>376</v>
      </c>
      <c r="D246" s="12" t="s">
        <v>533</v>
      </c>
      <c r="E246" s="19">
        <f>SUMIFS('BY INTERVENTION'!$E:$E,'BY INTERVENTION'!$B:$B,B246,'BY INTERVENTION'!$C:$C,C246,'BY INTERVENTION'!$AA:$AA,D246)</f>
        <v>1015.82</v>
      </c>
      <c r="F246" s="20">
        <f>SUMIFS('BY INTERVENTION'!$F:$F,'BY INTERVENTION'!$B:$B,B246,'BY INTERVENTION'!$C:$C,C246,'BY INTERVENTION'!$AA:$AA,D246)</f>
        <v>0</v>
      </c>
      <c r="G246" s="15"/>
      <c r="H246" s="15"/>
      <c r="I246" s="15"/>
      <c r="J246" s="16" t="s">
        <v>166</v>
      </c>
    </row>
    <row r="247" spans="1:10">
      <c r="A247" s="12" t="s">
        <v>25</v>
      </c>
      <c r="B247" s="12" t="s">
        <v>236</v>
      </c>
      <c r="C247" s="13" t="s">
        <v>379</v>
      </c>
      <c r="D247" s="12" t="s">
        <v>530</v>
      </c>
      <c r="E247" s="19">
        <f>SUMIFS('BY INTERVENTION'!$E:$E,'BY INTERVENTION'!$B:$B,B247,'BY INTERVENTION'!$C:$C,C247,'BY INTERVENTION'!$AA:$AA,D247)</f>
        <v>6490.83</v>
      </c>
      <c r="F247" s="20">
        <f>SUMIFS('BY INTERVENTION'!$F:$F,'BY INTERVENTION'!$B:$B,B247,'BY INTERVENTION'!$C:$C,C247,'BY INTERVENTION'!$AA:$AA,D247)</f>
        <v>0</v>
      </c>
      <c r="G247" s="15"/>
      <c r="H247" s="15"/>
      <c r="I247" s="15"/>
      <c r="J247" s="16" t="s">
        <v>75</v>
      </c>
    </row>
    <row r="248" ht="30" customHeight="1" spans="1:10">
      <c r="A248" s="12" t="s">
        <v>25</v>
      </c>
      <c r="B248" s="12" t="s">
        <v>236</v>
      </c>
      <c r="C248" s="13" t="s">
        <v>379</v>
      </c>
      <c r="D248" s="12" t="s">
        <v>519</v>
      </c>
      <c r="E248" s="19">
        <f>SUMIFS('BY INTERVENTION'!$E:$E,'BY INTERVENTION'!$B:$B,B248,'BY INTERVENTION'!$C:$C,C248,'BY INTERVENTION'!$AA:$AA,D248)</f>
        <v>0</v>
      </c>
      <c r="F248" s="20">
        <f>SUMIFS('BY INTERVENTION'!$F:$F,'BY INTERVENTION'!$B:$B,B248,'BY INTERVENTION'!$C:$C,C248,'BY INTERVENTION'!$AA:$AA,D248)</f>
        <v>28950</v>
      </c>
      <c r="G248" s="15"/>
      <c r="H248" s="15"/>
      <c r="I248" s="15"/>
      <c r="J248" s="16" t="s">
        <v>29</v>
      </c>
    </row>
    <row r="249" spans="1:10">
      <c r="A249" s="12" t="s">
        <v>25</v>
      </c>
      <c r="B249" s="12" t="s">
        <v>236</v>
      </c>
      <c r="C249" s="13" t="s">
        <v>379</v>
      </c>
      <c r="D249" s="12" t="s">
        <v>522</v>
      </c>
      <c r="E249" s="19">
        <f>SUMIFS('BY INTERVENTION'!$E:$E,'BY INTERVENTION'!$B:$B,B249,'BY INTERVENTION'!$C:$C,C249,'BY INTERVENTION'!$AA:$AA,D249)</f>
        <v>36746.1909</v>
      </c>
      <c r="F249" s="20">
        <f>SUMIFS('BY INTERVENTION'!$F:$F,'BY INTERVENTION'!$B:$B,B249,'BY INTERVENTION'!$C:$C,C249,'BY INTERVENTION'!$AA:$AA,D249)</f>
        <v>415.408</v>
      </c>
      <c r="G249" s="15"/>
      <c r="H249" s="15"/>
      <c r="I249" s="15"/>
      <c r="J249" s="16" t="s">
        <v>64</v>
      </c>
    </row>
    <row r="250" spans="1:10">
      <c r="A250" s="12" t="s">
        <v>25</v>
      </c>
      <c r="B250" s="12" t="s">
        <v>236</v>
      </c>
      <c r="C250" s="13" t="s">
        <v>382</v>
      </c>
      <c r="D250" s="12" t="s">
        <v>530</v>
      </c>
      <c r="E250" s="19">
        <f>SUMIFS('BY INTERVENTION'!$E:$E,'BY INTERVENTION'!$B:$B,B250,'BY INTERVENTION'!$C:$C,C250,'BY INTERVENTION'!$AA:$AA,D250)</f>
        <v>0</v>
      </c>
      <c r="F250" s="20">
        <f>SUMIFS('BY INTERVENTION'!$F:$F,'BY INTERVENTION'!$B:$B,B250,'BY INTERVENTION'!$C:$C,C250,'BY INTERVENTION'!$AA:$AA,D250)</f>
        <v>0</v>
      </c>
      <c r="G250" s="15"/>
      <c r="H250" s="15"/>
      <c r="I250" s="15"/>
      <c r="J250" s="16" t="s">
        <v>75</v>
      </c>
    </row>
    <row r="251" spans="1:10">
      <c r="A251" s="12" t="s">
        <v>25</v>
      </c>
      <c r="B251" s="12" t="s">
        <v>236</v>
      </c>
      <c r="C251" s="13" t="s">
        <v>382</v>
      </c>
      <c r="D251" s="12" t="s">
        <v>519</v>
      </c>
      <c r="E251" s="19">
        <f>SUMIFS('BY INTERVENTION'!$E:$E,'BY INTERVENTION'!$B:$B,B251,'BY INTERVENTION'!$C:$C,C251,'BY INTERVENTION'!$AA:$AA,D251)</f>
        <v>22500</v>
      </c>
      <c r="F251" s="20">
        <f>SUMIFS('BY INTERVENTION'!$F:$F,'BY INTERVENTION'!$B:$B,B251,'BY INTERVENTION'!$C:$C,C251,'BY INTERVENTION'!$AA:$AA,D251)</f>
        <v>39750</v>
      </c>
      <c r="G251" s="15"/>
      <c r="H251" s="15"/>
      <c r="I251" s="15"/>
      <c r="J251" s="16" t="s">
        <v>29</v>
      </c>
    </row>
    <row r="252" ht="30" spans="1:10">
      <c r="A252" s="12" t="s">
        <v>25</v>
      </c>
      <c r="B252" s="12" t="s">
        <v>236</v>
      </c>
      <c r="C252" s="13" t="s">
        <v>382</v>
      </c>
      <c r="D252" s="12" t="s">
        <v>520</v>
      </c>
      <c r="E252" s="19">
        <f>SUMIFS('BY INTERVENTION'!$E:$E,'BY INTERVENTION'!$B:$B,B252,'BY INTERVENTION'!$C:$C,C252,'BY INTERVENTION'!$AA:$AA,D252)</f>
        <v>127992.65</v>
      </c>
      <c r="F252" s="20">
        <f>SUMIFS('BY INTERVENTION'!$F:$F,'BY INTERVENTION'!$B:$B,B252,'BY INTERVENTION'!$C:$C,C252,'BY INTERVENTION'!$AA:$AA,D252)</f>
        <v>0</v>
      </c>
      <c r="G252" s="15"/>
      <c r="H252" s="15"/>
      <c r="I252" s="15"/>
      <c r="J252" s="16" t="s">
        <v>35</v>
      </c>
    </row>
    <row r="253" spans="1:10">
      <c r="A253" s="12" t="s">
        <v>25</v>
      </c>
      <c r="B253" s="12" t="s">
        <v>236</v>
      </c>
      <c r="C253" s="13" t="s">
        <v>382</v>
      </c>
      <c r="D253" s="12" t="s">
        <v>522</v>
      </c>
      <c r="E253" s="19">
        <f>SUMIFS('BY INTERVENTION'!$E:$E,'BY INTERVENTION'!$B:$B,B253,'BY INTERVENTION'!$C:$C,C253,'BY INTERVENTION'!$AA:$AA,D253)</f>
        <v>2450</v>
      </c>
      <c r="F253" s="20">
        <f>SUMIFS('BY INTERVENTION'!$F:$F,'BY INTERVENTION'!$B:$B,B253,'BY INTERVENTION'!$C:$C,C253,'BY INTERVENTION'!$AA:$AA,D253)</f>
        <v>0</v>
      </c>
      <c r="G253" s="15"/>
      <c r="H253" s="15"/>
      <c r="I253" s="15"/>
      <c r="J253" s="16" t="s">
        <v>64</v>
      </c>
    </row>
    <row r="254" spans="1:10">
      <c r="A254" s="12" t="s">
        <v>25</v>
      </c>
      <c r="B254" s="12" t="s">
        <v>236</v>
      </c>
      <c r="C254" s="13" t="s">
        <v>389</v>
      </c>
      <c r="D254" s="12" t="s">
        <v>530</v>
      </c>
      <c r="E254" s="19">
        <f>SUMIFS('BY INTERVENTION'!$E:$E,'BY INTERVENTION'!$B:$B,B254,'BY INTERVENTION'!$C:$C,C254,'BY INTERVENTION'!$AA:$AA,D254)</f>
        <v>22780</v>
      </c>
      <c r="F254" s="20">
        <f>SUMIFS('BY INTERVENTION'!$F:$F,'BY INTERVENTION'!$B:$B,B254,'BY INTERVENTION'!$C:$C,C254,'BY INTERVENTION'!$AA:$AA,D254)</f>
        <v>0</v>
      </c>
      <c r="G254" s="15"/>
      <c r="H254" s="15"/>
      <c r="I254" s="15"/>
      <c r="J254" s="16" t="s">
        <v>75</v>
      </c>
    </row>
    <row r="255" spans="1:10">
      <c r="A255" s="12" t="s">
        <v>25</v>
      </c>
      <c r="B255" s="12" t="s">
        <v>236</v>
      </c>
      <c r="C255" s="13" t="s">
        <v>389</v>
      </c>
      <c r="D255" s="12" t="s">
        <v>519</v>
      </c>
      <c r="E255" s="19">
        <f>SUMIFS('BY INTERVENTION'!$E:$E,'BY INTERVENTION'!$B:$B,B255,'BY INTERVENTION'!$C:$C,C255,'BY INTERVENTION'!$AA:$AA,D255)</f>
        <v>0</v>
      </c>
      <c r="F255" s="20">
        <f>SUMIFS('BY INTERVENTION'!$F:$F,'BY INTERVENTION'!$B:$B,B255,'BY INTERVENTION'!$C:$C,C255,'BY INTERVENTION'!$AA:$AA,D255)</f>
        <v>31500</v>
      </c>
      <c r="G255" s="15"/>
      <c r="H255" s="15"/>
      <c r="I255" s="15"/>
      <c r="J255" s="16" t="s">
        <v>29</v>
      </c>
    </row>
    <row r="256" ht="30" spans="1:10">
      <c r="A256" s="12" t="s">
        <v>25</v>
      </c>
      <c r="B256" s="12" t="s">
        <v>236</v>
      </c>
      <c r="C256" s="13" t="s">
        <v>389</v>
      </c>
      <c r="D256" s="12" t="s">
        <v>520</v>
      </c>
      <c r="E256" s="19">
        <f>SUMIFS('BY INTERVENTION'!$E:$E,'BY INTERVENTION'!$B:$B,B256,'BY INTERVENTION'!$C:$C,C256,'BY INTERVENTION'!$AA:$AA,D256)</f>
        <v>1200</v>
      </c>
      <c r="F256" s="20">
        <f>SUMIFS('BY INTERVENTION'!$F:$F,'BY INTERVENTION'!$B:$B,B256,'BY INTERVENTION'!$C:$C,C256,'BY INTERVENTION'!$AA:$AA,D256)</f>
        <v>0</v>
      </c>
      <c r="G256" s="15"/>
      <c r="H256" s="15"/>
      <c r="I256" s="15"/>
      <c r="J256" s="16" t="s">
        <v>35</v>
      </c>
    </row>
    <row r="257" spans="1:10">
      <c r="A257" s="12" t="s">
        <v>25</v>
      </c>
      <c r="B257" s="12" t="s">
        <v>236</v>
      </c>
      <c r="C257" s="13" t="s">
        <v>389</v>
      </c>
      <c r="D257" s="12" t="s">
        <v>522</v>
      </c>
      <c r="E257" s="19">
        <f>SUMIFS('BY INTERVENTION'!$E:$E,'BY INTERVENTION'!$B:$B,B257,'BY INTERVENTION'!$C:$C,C257,'BY INTERVENTION'!$AA:$AA,D257)</f>
        <v>35687.5644</v>
      </c>
      <c r="F257" s="20">
        <f>SUMIFS('BY INTERVENTION'!$F:$F,'BY INTERVENTION'!$B:$B,B257,'BY INTERVENTION'!$C:$C,C257,'BY INTERVENTION'!$AA:$AA,D257)</f>
        <v>565.9182</v>
      </c>
      <c r="G257" s="15"/>
      <c r="H257" s="15"/>
      <c r="I257" s="15"/>
      <c r="J257" s="16" t="s">
        <v>64</v>
      </c>
    </row>
    <row r="258" spans="1:10">
      <c r="A258" s="12" t="s">
        <v>25</v>
      </c>
      <c r="B258" s="12" t="s">
        <v>236</v>
      </c>
      <c r="C258" s="13" t="s">
        <v>392</v>
      </c>
      <c r="D258" s="12" t="s">
        <v>530</v>
      </c>
      <c r="E258" s="19">
        <f>SUMIFS('BY INTERVENTION'!$E:$E,'BY INTERVENTION'!$B:$B,B258,'BY INTERVENTION'!$C:$C,C258,'BY INTERVENTION'!$AA:$AA,D258)</f>
        <v>201830</v>
      </c>
      <c r="F258" s="20">
        <f>SUMIFS('BY INTERVENTION'!$F:$F,'BY INTERVENTION'!$B:$B,B258,'BY INTERVENTION'!$C:$C,C258,'BY INTERVENTION'!$AA:$AA,D258)</f>
        <v>0</v>
      </c>
      <c r="G258" s="15"/>
      <c r="H258" s="15"/>
      <c r="I258" s="15"/>
      <c r="J258" s="16" t="s">
        <v>75</v>
      </c>
    </row>
    <row r="259" ht="30" customHeight="1" spans="1:10">
      <c r="A259" s="12" t="s">
        <v>25</v>
      </c>
      <c r="B259" s="12" t="s">
        <v>236</v>
      </c>
      <c r="C259" s="13" t="s">
        <v>392</v>
      </c>
      <c r="D259" s="12" t="s">
        <v>519</v>
      </c>
      <c r="E259" s="19">
        <f>SUMIFS('BY INTERVENTION'!$E:$E,'BY INTERVENTION'!$B:$B,B259,'BY INTERVENTION'!$C:$C,C259,'BY INTERVENTION'!$AA:$AA,D259)</f>
        <v>0</v>
      </c>
      <c r="F259" s="20">
        <f>SUMIFS('BY INTERVENTION'!$F:$F,'BY INTERVENTION'!$B:$B,B259,'BY INTERVENTION'!$C:$C,C259,'BY INTERVENTION'!$AA:$AA,D259)</f>
        <v>45000</v>
      </c>
      <c r="G259" s="15"/>
      <c r="H259" s="15"/>
      <c r="I259" s="15"/>
      <c r="J259" s="16" t="s">
        <v>29</v>
      </c>
    </row>
    <row r="260" ht="45" customHeight="1" spans="1:10">
      <c r="A260" s="12" t="s">
        <v>25</v>
      </c>
      <c r="B260" s="12" t="s">
        <v>236</v>
      </c>
      <c r="C260" s="13" t="s">
        <v>392</v>
      </c>
      <c r="D260" s="12" t="s">
        <v>520</v>
      </c>
      <c r="E260" s="19">
        <f>SUMIFS('BY INTERVENTION'!$E:$E,'BY INTERVENTION'!$B:$B,B260,'BY INTERVENTION'!$C:$C,C260,'BY INTERVENTION'!$AA:$AA,D260)</f>
        <v>5898.98</v>
      </c>
      <c r="F260" s="20">
        <f>SUMIFS('BY INTERVENTION'!$F:$F,'BY INTERVENTION'!$B:$B,B260,'BY INTERVENTION'!$C:$C,C260,'BY INTERVENTION'!$AA:$AA,D260)</f>
        <v>0</v>
      </c>
      <c r="G260" s="15"/>
      <c r="H260" s="15"/>
      <c r="I260" s="15"/>
      <c r="J260" s="16" t="s">
        <v>35</v>
      </c>
    </row>
    <row r="261" ht="45" spans="1:10">
      <c r="A261" s="12" t="s">
        <v>25</v>
      </c>
      <c r="B261" s="12" t="s">
        <v>236</v>
      </c>
      <c r="C261" s="13" t="s">
        <v>392</v>
      </c>
      <c r="D261" s="12" t="s">
        <v>532</v>
      </c>
      <c r="E261" s="19">
        <f>SUMIFS('BY INTERVENTION'!$E:$E,'BY INTERVENTION'!$B:$B,B261,'BY INTERVENTION'!$C:$C,C261,'BY INTERVENTION'!$AA:$AA,D261)</f>
        <v>1600</v>
      </c>
      <c r="F261" s="20">
        <f>SUMIFS('BY INTERVENTION'!$F:$F,'BY INTERVENTION'!$B:$B,B261,'BY INTERVENTION'!$C:$C,C261,'BY INTERVENTION'!$AA:$AA,D261)</f>
        <v>0</v>
      </c>
      <c r="G261" s="15"/>
      <c r="H261" s="15"/>
      <c r="I261" s="15"/>
      <c r="J261" s="16" t="s">
        <v>134</v>
      </c>
    </row>
    <row r="262" spans="1:10">
      <c r="A262" s="12" t="s">
        <v>25</v>
      </c>
      <c r="B262" s="12" t="s">
        <v>236</v>
      </c>
      <c r="C262" s="13" t="s">
        <v>392</v>
      </c>
      <c r="D262" s="12" t="s">
        <v>522</v>
      </c>
      <c r="E262" s="19">
        <f>SUMIFS('BY INTERVENTION'!$E:$E,'BY INTERVENTION'!$B:$B,B262,'BY INTERVENTION'!$C:$C,C262,'BY INTERVENTION'!$AA:$AA,D262)</f>
        <v>126242.9596</v>
      </c>
      <c r="F262" s="20">
        <f>SUMIFS('BY INTERVENTION'!$F:$F,'BY INTERVENTION'!$B:$B,B262,'BY INTERVENTION'!$C:$C,C262,'BY INTERVENTION'!$AA:$AA,D262)</f>
        <v>1256.6011</v>
      </c>
      <c r="G262" s="15"/>
      <c r="H262" s="15"/>
      <c r="I262" s="15"/>
      <c r="J262" s="16" t="s">
        <v>64</v>
      </c>
    </row>
    <row r="263" ht="30" customHeight="1" spans="1:10">
      <c r="A263" s="12" t="s">
        <v>25</v>
      </c>
      <c r="B263" s="12" t="s">
        <v>400</v>
      </c>
      <c r="C263" s="13" t="s">
        <v>401</v>
      </c>
      <c r="D263" s="12" t="s">
        <v>519</v>
      </c>
      <c r="E263" s="19">
        <f>SUMIFS('BY INTERVENTION'!$E:$E,'BY INTERVENTION'!$B:$B,B263,'BY INTERVENTION'!$C:$C,C263,'BY INTERVENTION'!$AA:$AA,D263)</f>
        <v>27900</v>
      </c>
      <c r="F263" s="20">
        <f>SUMIFS('BY INTERVENTION'!$F:$F,'BY INTERVENTION'!$B:$B,B263,'BY INTERVENTION'!$C:$C,C263,'BY INTERVENTION'!$AA:$AA,D263)</f>
        <v>15500</v>
      </c>
      <c r="G263" s="15"/>
      <c r="H263" s="15"/>
      <c r="I263" s="15"/>
      <c r="J263" s="16" t="s">
        <v>29</v>
      </c>
    </row>
    <row r="264" ht="45" customHeight="1" spans="1:10">
      <c r="A264" s="12" t="s">
        <v>25</v>
      </c>
      <c r="B264" s="12" t="s">
        <v>400</v>
      </c>
      <c r="C264" s="13" t="s">
        <v>401</v>
      </c>
      <c r="D264" s="12" t="s">
        <v>520</v>
      </c>
      <c r="E264" s="19">
        <f>SUMIFS('BY INTERVENTION'!$E:$E,'BY INTERVENTION'!$B:$B,B264,'BY INTERVENTION'!$C:$C,C264,'BY INTERVENTION'!$AA:$AA,D264)</f>
        <v>7175</v>
      </c>
      <c r="F264" s="20">
        <f>SUMIFS('BY INTERVENTION'!$F:$F,'BY INTERVENTION'!$B:$B,B264,'BY INTERVENTION'!$C:$C,C264,'BY INTERVENTION'!$AA:$AA,D264)</f>
        <v>0</v>
      </c>
      <c r="G264" s="15"/>
      <c r="H264" s="15"/>
      <c r="I264" s="15"/>
      <c r="J264" s="16" t="s">
        <v>35</v>
      </c>
    </row>
    <row r="265" ht="45" spans="1:10">
      <c r="A265" s="12" t="s">
        <v>25</v>
      </c>
      <c r="B265" s="12" t="s">
        <v>400</v>
      </c>
      <c r="C265" s="13" t="s">
        <v>401</v>
      </c>
      <c r="D265" s="12" t="s">
        <v>532</v>
      </c>
      <c r="E265" s="19">
        <f>SUMIFS('BY INTERVENTION'!$E:$E,'BY INTERVENTION'!$B:$B,B265,'BY INTERVENTION'!$C:$C,C265,'BY INTERVENTION'!$AA:$AA,D265)</f>
        <v>3400</v>
      </c>
      <c r="F265" s="20">
        <f>SUMIFS('BY INTERVENTION'!$F:$F,'BY INTERVENTION'!$B:$B,B265,'BY INTERVENTION'!$C:$C,C265,'BY INTERVENTION'!$AA:$AA,D265)</f>
        <v>0</v>
      </c>
      <c r="G265" s="15"/>
      <c r="H265" s="15"/>
      <c r="I265" s="15"/>
      <c r="J265" s="16" t="s">
        <v>134</v>
      </c>
    </row>
    <row r="266" spans="1:10">
      <c r="A266" s="12" t="s">
        <v>25</v>
      </c>
      <c r="B266" s="12" t="s">
        <v>400</v>
      </c>
      <c r="C266" s="13" t="s">
        <v>406</v>
      </c>
      <c r="D266" s="12" t="s">
        <v>536</v>
      </c>
      <c r="E266" s="19">
        <f>SUMIFS('BY INTERVENTION'!$E:$E,'BY INTERVENTION'!$B:$B,B266,'BY INTERVENTION'!$C:$C,C266,'BY INTERVENTION'!$AA:$AA,D266)</f>
        <v>4550</v>
      </c>
      <c r="F266" s="20">
        <f>SUMIFS('BY INTERVENTION'!$F:$F,'BY INTERVENTION'!$B:$B,B266,'BY INTERVENTION'!$C:$C,C266,'BY INTERVENTION'!$AA:$AA,D266)</f>
        <v>0</v>
      </c>
      <c r="G266" s="15"/>
      <c r="H266" s="15"/>
      <c r="I266" s="15"/>
      <c r="J266" s="16" t="s">
        <v>412</v>
      </c>
    </row>
    <row r="267" spans="1:10">
      <c r="A267" s="12" t="s">
        <v>25</v>
      </c>
      <c r="B267" s="12" t="s">
        <v>400</v>
      </c>
      <c r="C267" s="13" t="s">
        <v>406</v>
      </c>
      <c r="D267" s="12" t="s">
        <v>519</v>
      </c>
      <c r="E267" s="19">
        <f>SUMIFS('BY INTERVENTION'!$E:$E,'BY INTERVENTION'!$B:$B,B267,'BY INTERVENTION'!$C:$C,C267,'BY INTERVENTION'!$AA:$AA,D267)</f>
        <v>21700</v>
      </c>
      <c r="F267" s="20">
        <f>SUMIFS('BY INTERVENTION'!$F:$F,'BY INTERVENTION'!$B:$B,B267,'BY INTERVENTION'!$C:$C,C267,'BY INTERVENTION'!$AA:$AA,D267)</f>
        <v>37975</v>
      </c>
      <c r="G267" s="15"/>
      <c r="H267" s="15"/>
      <c r="I267" s="15"/>
      <c r="J267" s="16" t="s">
        <v>29</v>
      </c>
    </row>
    <row r="268" ht="30" customHeight="1" spans="1:10">
      <c r="A268" s="12" t="s">
        <v>25</v>
      </c>
      <c r="B268" s="12" t="s">
        <v>400</v>
      </c>
      <c r="C268" s="13" t="s">
        <v>406</v>
      </c>
      <c r="D268" s="12" t="s">
        <v>537</v>
      </c>
      <c r="E268" s="19">
        <f>SUMIFS('BY INTERVENTION'!$E:$E,'BY INTERVENTION'!$B:$B,B268,'BY INTERVENTION'!$C:$C,C268,'BY INTERVENTION'!$AA:$AA,D268)</f>
        <v>0</v>
      </c>
      <c r="F268" s="20">
        <f>SUMIFS('BY INTERVENTION'!$F:$F,'BY INTERVENTION'!$B:$B,B268,'BY INTERVENTION'!$C:$C,C268,'BY INTERVENTION'!$AA:$AA,D268)</f>
        <v>5500</v>
      </c>
      <c r="G268" s="15"/>
      <c r="H268" s="15"/>
      <c r="I268" s="15"/>
      <c r="J268" s="16" t="s">
        <v>410</v>
      </c>
    </row>
    <row r="269" ht="30" spans="1:10">
      <c r="A269" s="12" t="s">
        <v>25</v>
      </c>
      <c r="B269" s="12" t="s">
        <v>400</v>
      </c>
      <c r="C269" s="13" t="s">
        <v>406</v>
      </c>
      <c r="D269" s="12" t="s">
        <v>520</v>
      </c>
      <c r="E269" s="19">
        <f>SUMIFS('BY INTERVENTION'!$E:$E,'BY INTERVENTION'!$B:$B,B269,'BY INTERVENTION'!$C:$C,C269,'BY INTERVENTION'!$AA:$AA,D269)</f>
        <v>1000</v>
      </c>
      <c r="F269" s="20">
        <f>SUMIFS('BY INTERVENTION'!$F:$F,'BY INTERVENTION'!$B:$B,B269,'BY INTERVENTION'!$C:$C,C269,'BY INTERVENTION'!$AA:$AA,D269)</f>
        <v>0</v>
      </c>
      <c r="G269" s="15"/>
      <c r="H269" s="15"/>
      <c r="I269" s="15"/>
      <c r="J269" s="16" t="s">
        <v>35</v>
      </c>
    </row>
    <row r="270" spans="1:10">
      <c r="A270" s="12" t="s">
        <v>25</v>
      </c>
      <c r="B270" s="12" t="s">
        <v>400</v>
      </c>
      <c r="C270" s="13" t="s">
        <v>406</v>
      </c>
      <c r="D270" s="12" t="s">
        <v>522</v>
      </c>
      <c r="E270" s="23">
        <f>SUMIFS('BY INTERVENTION'!$E:$E,'BY INTERVENTION'!$B:$B,B270,'BY INTERVENTION'!$C:$C,C270,'BY INTERVENTION'!$AA:$AA,D270)</f>
        <v>2546.0946</v>
      </c>
      <c r="F270" s="24">
        <f>SUMIFS('BY INTERVENTION'!$F:$F,'BY INTERVENTION'!$B:$B,B270,'BY INTERVENTION'!$C:$C,C270,'BY INTERVENTION'!$AA:$AA,D270)</f>
        <v>43.5605</v>
      </c>
      <c r="G270" s="15"/>
      <c r="H270" s="15"/>
      <c r="I270" s="15"/>
      <c r="J270" s="16" t="s">
        <v>64</v>
      </c>
    </row>
    <row r="271" spans="1:10">
      <c r="A271" s="12" t="s">
        <v>25</v>
      </c>
      <c r="B271" s="12" t="s">
        <v>400</v>
      </c>
      <c r="C271" s="13" t="s">
        <v>406</v>
      </c>
      <c r="D271" s="12" t="s">
        <v>521</v>
      </c>
      <c r="E271" s="19">
        <f>SUMIFS('BY INTERVENTION'!$E:$E,'BY INTERVENTION'!$B:$B,B271,'BY INTERVENTION'!$C:$C,C271,'BY INTERVENTION'!$AA:$AA,D271)</f>
        <v>175</v>
      </c>
      <c r="F271" s="20">
        <f>SUMIFS('BY INTERVENTION'!$F:$F,'BY INTERVENTION'!$B:$B,B271,'BY INTERVENTION'!$C:$C,C271,'BY INTERVENTION'!$AA:$AA,D271)</f>
        <v>0</v>
      </c>
      <c r="G271" s="15"/>
      <c r="H271" s="15"/>
      <c r="I271" s="15"/>
      <c r="J271" s="16" t="s">
        <v>33</v>
      </c>
    </row>
    <row r="272" ht="30" customHeight="1" spans="1:10">
      <c r="A272" s="12" t="s">
        <v>25</v>
      </c>
      <c r="B272" s="12" t="s">
        <v>400</v>
      </c>
      <c r="C272" s="13" t="s">
        <v>415</v>
      </c>
      <c r="D272" s="12" t="s">
        <v>519</v>
      </c>
      <c r="E272" s="19">
        <f>SUMIFS('BY INTERVENTION'!$E:$E,'BY INTERVENTION'!$B:$B,B272,'BY INTERVENTION'!$C:$C,C272,'BY INTERVENTION'!$AA:$AA,D272)</f>
        <v>0</v>
      </c>
      <c r="F272" s="20">
        <f>SUMIFS('BY INTERVENTION'!$F:$F,'BY INTERVENTION'!$B:$B,B272,'BY INTERVENTION'!$C:$C,C272,'BY INTERVENTION'!$AA:$AA,D272)</f>
        <v>51150</v>
      </c>
      <c r="G272" s="15"/>
      <c r="H272" s="15"/>
      <c r="I272" s="15"/>
      <c r="J272" s="16" t="s">
        <v>29</v>
      </c>
    </row>
    <row r="273" ht="30" spans="1:10">
      <c r="A273" s="12" t="s">
        <v>25</v>
      </c>
      <c r="B273" s="12" t="s">
        <v>400</v>
      </c>
      <c r="C273" s="13" t="s">
        <v>415</v>
      </c>
      <c r="D273" s="12" t="s">
        <v>520</v>
      </c>
      <c r="E273" s="19">
        <f>SUMIFS('BY INTERVENTION'!$E:$E,'BY INTERVENTION'!$B:$B,B273,'BY INTERVENTION'!$C:$C,C273,'BY INTERVENTION'!$AA:$AA,D273)</f>
        <v>15175</v>
      </c>
      <c r="F273" s="20">
        <f>SUMIFS('BY INTERVENTION'!$F:$F,'BY INTERVENTION'!$B:$B,B273,'BY INTERVENTION'!$C:$C,C273,'BY INTERVENTION'!$AA:$AA,D273)</f>
        <v>0</v>
      </c>
      <c r="G273" s="15"/>
      <c r="H273" s="15"/>
      <c r="I273" s="15"/>
      <c r="J273" s="16" t="s">
        <v>35</v>
      </c>
    </row>
    <row r="274" spans="1:10">
      <c r="A274" s="12" t="s">
        <v>25</v>
      </c>
      <c r="B274" s="12" t="s">
        <v>400</v>
      </c>
      <c r="C274" s="13" t="s">
        <v>415</v>
      </c>
      <c r="D274" s="12" t="s">
        <v>522</v>
      </c>
      <c r="E274" s="23">
        <f>SUMIFS('BY INTERVENTION'!$E:$E,'BY INTERVENTION'!$B:$B,B274,'BY INTERVENTION'!$C:$C,C274,'BY INTERVENTION'!$AA:$AA,D274)</f>
        <v>24986.9368</v>
      </c>
      <c r="F274" s="24">
        <f>SUMIFS('BY INTERVENTION'!$F:$F,'BY INTERVENTION'!$B:$B,B274,'BY INTERVENTION'!$C:$C,C274,'BY INTERVENTION'!$AA:$AA,D274)</f>
        <v>401.8323</v>
      </c>
      <c r="G274" s="15"/>
      <c r="H274" s="15"/>
      <c r="I274" s="15"/>
      <c r="J274" s="16" t="s">
        <v>64</v>
      </c>
    </row>
    <row r="275" spans="1:10">
      <c r="A275" s="12" t="s">
        <v>25</v>
      </c>
      <c r="B275" s="12" t="s">
        <v>400</v>
      </c>
      <c r="C275" s="13" t="s">
        <v>419</v>
      </c>
      <c r="D275" s="12" t="s">
        <v>530</v>
      </c>
      <c r="E275" s="19">
        <f>SUMIFS('BY INTERVENTION'!$E:$E,'BY INTERVENTION'!$B:$B,B275,'BY INTERVENTION'!$C:$C,C275,'BY INTERVENTION'!$AA:$AA,D275)</f>
        <v>5316</v>
      </c>
      <c r="F275" s="20">
        <f>SUMIFS('BY INTERVENTION'!$F:$F,'BY INTERVENTION'!$B:$B,B275,'BY INTERVENTION'!$C:$C,C275,'BY INTERVENTION'!$AA:$AA,D275)</f>
        <v>78000</v>
      </c>
      <c r="G275" s="15"/>
      <c r="H275" s="15"/>
      <c r="I275" s="15"/>
      <c r="J275" s="16" t="s">
        <v>75</v>
      </c>
    </row>
    <row r="276" spans="1:10">
      <c r="A276" s="12" t="s">
        <v>25</v>
      </c>
      <c r="B276" s="12" t="s">
        <v>400</v>
      </c>
      <c r="C276" s="13" t="s">
        <v>419</v>
      </c>
      <c r="D276" s="12" t="s">
        <v>519</v>
      </c>
      <c r="E276" s="19">
        <f>SUMIFS('BY INTERVENTION'!$E:$E,'BY INTERVENTION'!$B:$B,B276,'BY INTERVENTION'!$C:$C,C276,'BY INTERVENTION'!$AA:$AA,D276)</f>
        <v>0</v>
      </c>
      <c r="F276" s="20">
        <f>SUMIFS('BY INTERVENTION'!$F:$F,'BY INTERVENTION'!$B:$B,B276,'BY INTERVENTION'!$C:$C,C276,'BY INTERVENTION'!$AA:$AA,D276)</f>
        <v>46810</v>
      </c>
      <c r="G276" s="15"/>
      <c r="H276" s="15"/>
      <c r="I276" s="15"/>
      <c r="J276" s="16" t="s">
        <v>29</v>
      </c>
    </row>
    <row r="277" ht="30" customHeight="1" spans="1:10">
      <c r="A277" s="12" t="s">
        <v>25</v>
      </c>
      <c r="B277" s="12" t="s">
        <v>400</v>
      </c>
      <c r="C277" s="13" t="s">
        <v>419</v>
      </c>
      <c r="D277" s="12" t="s">
        <v>537</v>
      </c>
      <c r="E277" s="19">
        <f>SUMIFS('BY INTERVENTION'!$E:$E,'BY INTERVENTION'!$B:$B,B277,'BY INTERVENTION'!$C:$C,C277,'BY INTERVENTION'!$AA:$AA,D277)</f>
        <v>0</v>
      </c>
      <c r="F277" s="20">
        <f>SUMIFS('BY INTERVENTION'!$F:$F,'BY INTERVENTION'!$B:$B,B277,'BY INTERVENTION'!$C:$C,C277,'BY INTERVENTION'!$AA:$AA,D277)</f>
        <v>5500</v>
      </c>
      <c r="G277" s="15"/>
      <c r="H277" s="15"/>
      <c r="I277" s="15"/>
      <c r="J277" s="16" t="s">
        <v>410</v>
      </c>
    </row>
    <row r="278" ht="30" spans="1:10">
      <c r="A278" s="12" t="s">
        <v>25</v>
      </c>
      <c r="B278" s="12" t="s">
        <v>400</v>
      </c>
      <c r="C278" s="13" t="s">
        <v>419</v>
      </c>
      <c r="D278" s="12" t="s">
        <v>520</v>
      </c>
      <c r="E278" s="19">
        <f>SUMIFS('BY INTERVENTION'!$E:$E,'BY INTERVENTION'!$B:$B,B278,'BY INTERVENTION'!$C:$C,C278,'BY INTERVENTION'!$AA:$AA,D278)</f>
        <v>393.16</v>
      </c>
      <c r="F278" s="20">
        <f>SUMIFS('BY INTERVENTION'!$F:$F,'BY INTERVENTION'!$B:$B,B278,'BY INTERVENTION'!$C:$C,C278,'BY INTERVENTION'!$AA:$AA,D278)</f>
        <v>0</v>
      </c>
      <c r="G278" s="15"/>
      <c r="H278" s="15"/>
      <c r="I278" s="15"/>
      <c r="J278" s="16" t="s">
        <v>35</v>
      </c>
    </row>
    <row r="279" spans="1:10">
      <c r="A279" s="12" t="s">
        <v>25</v>
      </c>
      <c r="B279" s="12" t="s">
        <v>400</v>
      </c>
      <c r="C279" s="13" t="s">
        <v>419</v>
      </c>
      <c r="D279" s="12" t="s">
        <v>522</v>
      </c>
      <c r="E279" s="23">
        <f>SUMIFS('BY INTERVENTION'!$E:$E,'BY INTERVENTION'!$B:$B,B279,'BY INTERVENTION'!$C:$C,C279,'BY INTERVENTION'!$AA:$AA,D279)</f>
        <v>59727.704</v>
      </c>
      <c r="F279" s="24">
        <f>SUMIFS('BY INTERVENTION'!$F:$F,'BY INTERVENTION'!$B:$B,B279,'BY INTERVENTION'!$C:$C,C279,'BY INTERVENTION'!$AA:$AA,D279)</f>
        <v>424.2579</v>
      </c>
      <c r="G279" s="15"/>
      <c r="H279" s="15"/>
      <c r="I279" s="15"/>
      <c r="J279" s="16" t="s">
        <v>64</v>
      </c>
    </row>
    <row r="280" spans="1:10">
      <c r="A280" s="12" t="s">
        <v>25</v>
      </c>
      <c r="B280" s="12" t="s">
        <v>400</v>
      </c>
      <c r="C280" s="13" t="s">
        <v>423</v>
      </c>
      <c r="D280" s="12" t="s">
        <v>530</v>
      </c>
      <c r="E280" s="19">
        <f>SUMIFS('BY INTERVENTION'!$E:$E,'BY INTERVENTION'!$B:$B,B280,'BY INTERVENTION'!$C:$C,C280,'BY INTERVENTION'!$AA:$AA,D280)</f>
        <v>0</v>
      </c>
      <c r="F280" s="20">
        <f>SUMIFS('BY INTERVENTION'!$F:$F,'BY INTERVENTION'!$B:$B,B280,'BY INTERVENTION'!$C:$C,C280,'BY INTERVENTION'!$AA:$AA,D280)</f>
        <v>0</v>
      </c>
      <c r="G280" s="15"/>
      <c r="H280" s="15"/>
      <c r="I280" s="15"/>
      <c r="J280" s="16" t="s">
        <v>75</v>
      </c>
    </row>
    <row r="281" ht="30" customHeight="1" spans="1:10">
      <c r="A281" s="12" t="s">
        <v>25</v>
      </c>
      <c r="B281" s="12" t="s">
        <v>400</v>
      </c>
      <c r="C281" s="13" t="s">
        <v>423</v>
      </c>
      <c r="D281" s="12" t="s">
        <v>519</v>
      </c>
      <c r="E281" s="19">
        <f>SUMIFS('BY INTERVENTION'!$E:$E,'BY INTERVENTION'!$B:$B,B281,'BY INTERVENTION'!$C:$C,C281,'BY INTERVENTION'!$AA:$AA,D281)</f>
        <v>0</v>
      </c>
      <c r="F281" s="20">
        <f>SUMIFS('BY INTERVENTION'!$F:$F,'BY INTERVENTION'!$B:$B,B281,'BY INTERVENTION'!$C:$C,C281,'BY INTERVENTION'!$AA:$AA,D281)</f>
        <v>41540</v>
      </c>
      <c r="G281" s="15"/>
      <c r="H281" s="15"/>
      <c r="I281" s="15"/>
      <c r="J281" s="16" t="s">
        <v>29</v>
      </c>
    </row>
    <row r="282" ht="30" spans="1:10">
      <c r="A282" s="12" t="s">
        <v>25</v>
      </c>
      <c r="B282" s="12" t="s">
        <v>400</v>
      </c>
      <c r="C282" s="13" t="s">
        <v>423</v>
      </c>
      <c r="D282" s="12" t="s">
        <v>520</v>
      </c>
      <c r="E282" s="19">
        <f>SUMIFS('BY INTERVENTION'!$E:$E,'BY INTERVENTION'!$B:$B,B282,'BY INTERVENTION'!$C:$C,C282,'BY INTERVENTION'!$AA:$AA,D282)</f>
        <v>376</v>
      </c>
      <c r="F282" s="20">
        <f>SUMIFS('BY INTERVENTION'!$F:$F,'BY INTERVENTION'!$B:$B,B282,'BY INTERVENTION'!$C:$C,C282,'BY INTERVENTION'!$AA:$AA,D282)</f>
        <v>0</v>
      </c>
      <c r="G282" s="15"/>
      <c r="H282" s="15"/>
      <c r="I282" s="15"/>
      <c r="J282" s="16" t="s">
        <v>35</v>
      </c>
    </row>
    <row r="283" spans="1:10">
      <c r="A283" s="12" t="s">
        <v>25</v>
      </c>
      <c r="B283" s="12" t="s">
        <v>400</v>
      </c>
      <c r="C283" s="13" t="s">
        <v>423</v>
      </c>
      <c r="D283" s="12" t="s">
        <v>522</v>
      </c>
      <c r="E283" s="23">
        <f>SUMIFS('BY INTERVENTION'!$E:$E,'BY INTERVENTION'!$B:$B,B283,'BY INTERVENTION'!$C:$C,C283,'BY INTERVENTION'!$AA:$AA,D283)</f>
        <v>59563.6177</v>
      </c>
      <c r="F283" s="24">
        <f>SUMIFS('BY INTERVENTION'!$F:$F,'BY INTERVENTION'!$B:$B,B283,'BY INTERVENTION'!$C:$C,C283,'BY INTERVENTION'!$AA:$AA,D283)</f>
        <v>447.1138</v>
      </c>
      <c r="G283" s="15"/>
      <c r="H283" s="15"/>
      <c r="I283" s="15"/>
      <c r="J283" s="16" t="s">
        <v>64</v>
      </c>
    </row>
    <row r="284" spans="1:10">
      <c r="A284" s="12" t="s">
        <v>25</v>
      </c>
      <c r="B284" s="12" t="s">
        <v>400</v>
      </c>
      <c r="C284" s="13" t="s">
        <v>426</v>
      </c>
      <c r="D284" s="12" t="s">
        <v>530</v>
      </c>
      <c r="E284" s="19">
        <f>SUMIFS('BY INTERVENTION'!$E:$E,'BY INTERVENTION'!$B:$B,B284,'BY INTERVENTION'!$C:$C,C284,'BY INTERVENTION'!$AA:$AA,D284)</f>
        <v>1770.33</v>
      </c>
      <c r="F284" s="20">
        <f>SUMIFS('BY INTERVENTION'!$F:$F,'BY INTERVENTION'!$B:$B,B284,'BY INTERVENTION'!$C:$C,C284,'BY INTERVENTION'!$AA:$AA,D284)</f>
        <v>0</v>
      </c>
      <c r="G284" s="15"/>
      <c r="H284" s="15"/>
      <c r="I284" s="15"/>
      <c r="J284" s="16" t="s">
        <v>75</v>
      </c>
    </row>
    <row r="285" ht="45" customHeight="1" spans="1:10">
      <c r="A285" s="12" t="s">
        <v>25</v>
      </c>
      <c r="B285" s="12" t="s">
        <v>400</v>
      </c>
      <c r="C285" s="13" t="s">
        <v>426</v>
      </c>
      <c r="D285" s="12" t="s">
        <v>519</v>
      </c>
      <c r="E285" s="19">
        <f>SUMIFS('BY INTERVENTION'!$E:$E,'BY INTERVENTION'!$B:$B,B285,'BY INTERVENTION'!$C:$C,C285,'BY INTERVENTION'!$AA:$AA,D285)</f>
        <v>0</v>
      </c>
      <c r="F285" s="20">
        <f>SUMIFS('BY INTERVENTION'!$F:$F,'BY INTERVENTION'!$B:$B,B285,'BY INTERVENTION'!$C:$C,C285,'BY INTERVENTION'!$AA:$AA,D285)</f>
        <v>31000</v>
      </c>
      <c r="G285" s="15"/>
      <c r="H285" s="15"/>
      <c r="I285" s="15"/>
      <c r="J285" s="16" t="s">
        <v>29</v>
      </c>
    </row>
    <row r="286" ht="45" spans="1:10">
      <c r="A286" s="12" t="s">
        <v>25</v>
      </c>
      <c r="B286" s="12" t="s">
        <v>400</v>
      </c>
      <c r="C286" s="13" t="s">
        <v>426</v>
      </c>
      <c r="D286" s="12" t="s">
        <v>531</v>
      </c>
      <c r="E286" s="19">
        <f>SUMIFS('BY INTERVENTION'!$E:$E,'BY INTERVENTION'!$B:$B,B286,'BY INTERVENTION'!$C:$C,C286,'BY INTERVENTION'!$AA:$AA,D286)</f>
        <v>1500</v>
      </c>
      <c r="F286" s="20">
        <f>SUMIFS('BY INTERVENTION'!$F:$F,'BY INTERVENTION'!$B:$B,B286,'BY INTERVENTION'!$C:$C,C286,'BY INTERVENTION'!$AA:$AA,D286)</f>
        <v>0</v>
      </c>
      <c r="G286" s="15"/>
      <c r="H286" s="15"/>
      <c r="I286" s="15"/>
      <c r="J286" s="16" t="s">
        <v>80</v>
      </c>
    </row>
    <row r="287" spans="1:10">
      <c r="A287" s="12" t="s">
        <v>25</v>
      </c>
      <c r="B287" s="12" t="s">
        <v>400</v>
      </c>
      <c r="C287" s="13" t="s">
        <v>426</v>
      </c>
      <c r="D287" s="12" t="s">
        <v>535</v>
      </c>
      <c r="E287" s="19">
        <f>SUMIFS('BY INTERVENTION'!$E:$E,'BY INTERVENTION'!$B:$B,B287,'BY INTERVENTION'!$C:$C,C287,'BY INTERVENTION'!$AA:$AA,D287)</f>
        <v>3500</v>
      </c>
      <c r="F287" s="20">
        <f>SUMIFS('BY INTERVENTION'!$F:$F,'BY INTERVENTION'!$B:$B,B287,'BY INTERVENTION'!$C:$C,C287,'BY INTERVENTION'!$AA:$AA,D287)</f>
        <v>0</v>
      </c>
      <c r="G287" s="15"/>
      <c r="H287" s="15"/>
      <c r="I287" s="15"/>
      <c r="J287" s="16" t="s">
        <v>288</v>
      </c>
    </row>
    <row r="288" spans="1:10">
      <c r="A288" s="12" t="s">
        <v>25</v>
      </c>
      <c r="B288" s="12" t="s">
        <v>400</v>
      </c>
      <c r="C288" s="13" t="s">
        <v>426</v>
      </c>
      <c r="D288" s="12" t="s">
        <v>522</v>
      </c>
      <c r="E288" s="23">
        <f>SUMIFS('BY INTERVENTION'!$E:$E,'BY INTERVENTION'!$B:$B,B288,'BY INTERVENTION'!$C:$C,C288,'BY INTERVENTION'!$AA:$AA,D288)</f>
        <v>22213.2887</v>
      </c>
      <c r="F288" s="24">
        <f>SUMIFS('BY INTERVENTION'!$F:$F,'BY INTERVENTION'!$B:$B,B288,'BY INTERVENTION'!$C:$C,C288,'BY INTERVENTION'!$AA:$AA,D288)</f>
        <v>340.6916</v>
      </c>
      <c r="G288" s="15"/>
      <c r="H288" s="15"/>
      <c r="I288" s="15"/>
      <c r="J288" s="16" t="s">
        <v>64</v>
      </c>
    </row>
    <row r="289" spans="1:10">
      <c r="A289" s="12" t="s">
        <v>25</v>
      </c>
      <c r="B289" s="12" t="s">
        <v>400</v>
      </c>
      <c r="C289" s="13" t="s">
        <v>430</v>
      </c>
      <c r="D289" s="12" t="s">
        <v>530</v>
      </c>
      <c r="E289" s="19">
        <f>SUMIFS('BY INTERVENTION'!$E:$E,'BY INTERVENTION'!$B:$B,B289,'BY INTERVENTION'!$C:$C,C289,'BY INTERVENTION'!$AA:$AA,D289)</f>
        <v>6400</v>
      </c>
      <c r="F289" s="20">
        <f>SUMIFS('BY INTERVENTION'!$F:$F,'BY INTERVENTION'!$B:$B,B289,'BY INTERVENTION'!$C:$C,C289,'BY INTERVENTION'!$AA:$AA,D289)</f>
        <v>2000</v>
      </c>
      <c r="G289" s="15"/>
      <c r="H289" s="15"/>
      <c r="I289" s="15"/>
      <c r="J289" s="16" t="s">
        <v>75</v>
      </c>
    </row>
    <row r="290" spans="1:10">
      <c r="A290" s="12" t="s">
        <v>25</v>
      </c>
      <c r="B290" s="12" t="s">
        <v>400</v>
      </c>
      <c r="C290" s="13" t="s">
        <v>430</v>
      </c>
      <c r="D290" s="12" t="s">
        <v>519</v>
      </c>
      <c r="E290" s="19">
        <f>SUMIFS('BY INTERVENTION'!$E:$E,'BY INTERVENTION'!$B:$B,B290,'BY INTERVENTION'!$C:$C,C290,'BY INTERVENTION'!$AA:$AA,D290)</f>
        <v>0</v>
      </c>
      <c r="F290" s="20">
        <f>SUMIFS('BY INTERVENTION'!$F:$F,'BY INTERVENTION'!$B:$B,B290,'BY INTERVENTION'!$C:$C,C290,'BY INTERVENTION'!$AA:$AA,D290)</f>
        <v>44640</v>
      </c>
      <c r="G290" s="15"/>
      <c r="H290" s="15"/>
      <c r="I290" s="15"/>
      <c r="J290" s="16" t="s">
        <v>29</v>
      </c>
    </row>
    <row r="291" spans="1:10">
      <c r="A291" s="12" t="s">
        <v>25</v>
      </c>
      <c r="B291" s="12" t="s">
        <v>400</v>
      </c>
      <c r="C291" s="13" t="s">
        <v>430</v>
      </c>
      <c r="D291" s="12" t="s">
        <v>535</v>
      </c>
      <c r="E291" s="19">
        <f>SUMIFS('BY INTERVENTION'!$E:$E,'BY INTERVENTION'!$B:$B,B291,'BY INTERVENTION'!$C:$C,C291,'BY INTERVENTION'!$AA:$AA,D291)</f>
        <v>7000</v>
      </c>
      <c r="F291" s="20">
        <f>SUMIFS('BY INTERVENTION'!$F:$F,'BY INTERVENTION'!$B:$B,B291,'BY INTERVENTION'!$C:$C,C291,'BY INTERVENTION'!$AA:$AA,D291)</f>
        <v>0</v>
      </c>
      <c r="G291" s="15"/>
      <c r="H291" s="15"/>
      <c r="I291" s="15"/>
      <c r="J291" s="16" t="s">
        <v>288</v>
      </c>
    </row>
    <row r="292" spans="1:10">
      <c r="A292" s="12" t="s">
        <v>25</v>
      </c>
      <c r="B292" s="12" t="s">
        <v>400</v>
      </c>
      <c r="C292" s="13" t="s">
        <v>430</v>
      </c>
      <c r="D292" s="12" t="s">
        <v>522</v>
      </c>
      <c r="E292" s="23">
        <f>SUMIFS('BY INTERVENTION'!$E:$E,'BY INTERVENTION'!$B:$B,B292,'BY INTERVENTION'!$C:$C,C292,'BY INTERVENTION'!$AA:$AA,D292)</f>
        <v>4458.4945</v>
      </c>
      <c r="F292" s="24">
        <f>SUMIFS('BY INTERVENTION'!$F:$F,'BY INTERVENTION'!$B:$B,B292,'BY INTERVENTION'!$C:$C,C292,'BY INTERVENTION'!$AA:$AA,D292)</f>
        <v>76.2793</v>
      </c>
      <c r="G292" s="15"/>
      <c r="H292" s="15"/>
      <c r="I292" s="15"/>
      <c r="J292" s="16" t="s">
        <v>64</v>
      </c>
    </row>
    <row r="293" spans="1:10">
      <c r="A293" s="12" t="s">
        <v>25</v>
      </c>
      <c r="B293" s="12" t="s">
        <v>400</v>
      </c>
      <c r="C293" s="13" t="s">
        <v>434</v>
      </c>
      <c r="D293" s="12" t="s">
        <v>530</v>
      </c>
      <c r="E293" s="19">
        <f>SUMIFS('BY INTERVENTION'!$E:$E,'BY INTERVENTION'!$B:$B,B293,'BY INTERVENTION'!$C:$C,C293,'BY INTERVENTION'!$AA:$AA,D293)</f>
        <v>0</v>
      </c>
      <c r="F293" s="20">
        <f>SUMIFS('BY INTERVENTION'!$F:$F,'BY INTERVENTION'!$B:$B,B293,'BY INTERVENTION'!$C:$C,C293,'BY INTERVENTION'!$AA:$AA,D293)</f>
        <v>0</v>
      </c>
      <c r="G293" s="15"/>
      <c r="H293" s="15"/>
      <c r="I293" s="15"/>
      <c r="J293" s="16" t="s">
        <v>75</v>
      </c>
    </row>
    <row r="294" ht="30" customHeight="1" spans="1:10">
      <c r="A294" s="12" t="s">
        <v>25</v>
      </c>
      <c r="B294" s="12" t="s">
        <v>400</v>
      </c>
      <c r="C294" s="13" t="s">
        <v>434</v>
      </c>
      <c r="D294" s="12" t="s">
        <v>519</v>
      </c>
      <c r="E294" s="19">
        <f>SUMIFS('BY INTERVENTION'!$E:$E,'BY INTERVENTION'!$B:$B,B294,'BY INTERVENTION'!$C:$C,C294,'BY INTERVENTION'!$AA:$AA,D294)</f>
        <v>0</v>
      </c>
      <c r="F294" s="20">
        <f>SUMIFS('BY INTERVENTION'!$F:$F,'BY INTERVENTION'!$B:$B,B294,'BY INTERVENTION'!$C:$C,C294,'BY INTERVENTION'!$AA:$AA,D294)</f>
        <v>31000</v>
      </c>
      <c r="G294" s="15"/>
      <c r="H294" s="15"/>
      <c r="I294" s="15"/>
      <c r="J294" s="16" t="s">
        <v>29</v>
      </c>
    </row>
    <row r="295" ht="30" spans="1:10">
      <c r="A295" s="12" t="s">
        <v>25</v>
      </c>
      <c r="B295" s="12" t="s">
        <v>400</v>
      </c>
      <c r="C295" s="13" t="s">
        <v>434</v>
      </c>
      <c r="D295" s="12" t="s">
        <v>520</v>
      </c>
      <c r="E295" s="19">
        <f>SUMIFS('BY INTERVENTION'!$E:$E,'BY INTERVENTION'!$B:$B,B295,'BY INTERVENTION'!$C:$C,C295,'BY INTERVENTION'!$AA:$AA,D295)</f>
        <v>1000</v>
      </c>
      <c r="F295" s="20">
        <f>SUMIFS('BY INTERVENTION'!$F:$F,'BY INTERVENTION'!$B:$B,B295,'BY INTERVENTION'!$C:$C,C295,'BY INTERVENTION'!$AA:$AA,D295)</f>
        <v>0</v>
      </c>
      <c r="G295" s="15"/>
      <c r="H295" s="15"/>
      <c r="I295" s="15"/>
      <c r="J295" s="16" t="s">
        <v>35</v>
      </c>
    </row>
    <row r="296" spans="1:10">
      <c r="A296" s="12" t="s">
        <v>25</v>
      </c>
      <c r="B296" s="12" t="s">
        <v>400</v>
      </c>
      <c r="C296" s="13" t="s">
        <v>434</v>
      </c>
      <c r="D296" s="12" t="s">
        <v>522</v>
      </c>
      <c r="E296" s="19">
        <f>SUMIFS('BY INTERVENTION'!$E:$E,'BY INTERVENTION'!$B:$B,B296,'BY INTERVENTION'!$C:$C,C296,'BY INTERVENTION'!$AA:$AA,D296)</f>
        <v>16344.6699</v>
      </c>
      <c r="F296" s="20">
        <f>SUMIFS('BY INTERVENTION'!$F:$F,'BY INTERVENTION'!$B:$B,B296,'BY INTERVENTION'!$C:$C,C296,'BY INTERVENTION'!$AA:$AA,D296)</f>
        <v>279.637</v>
      </c>
      <c r="G296" s="15"/>
      <c r="H296" s="15"/>
      <c r="I296" s="15"/>
      <c r="J296" s="16" t="s">
        <v>64</v>
      </c>
    </row>
    <row r="297" spans="1:10">
      <c r="A297" s="12" t="s">
        <v>25</v>
      </c>
      <c r="B297" s="12" t="s">
        <v>400</v>
      </c>
      <c r="C297" s="13" t="s">
        <v>434</v>
      </c>
      <c r="D297" s="12" t="s">
        <v>533</v>
      </c>
      <c r="E297" s="19">
        <f>SUMIFS('BY INTERVENTION'!$E:$E,'BY INTERVENTION'!$B:$B,B297,'BY INTERVENTION'!$C:$C,C297,'BY INTERVENTION'!$AA:$AA,D297)</f>
        <v>2508.966</v>
      </c>
      <c r="F297" s="20">
        <f>SUMIFS('BY INTERVENTION'!$F:$F,'BY INTERVENTION'!$B:$B,B297,'BY INTERVENTION'!$C:$C,C297,'BY INTERVENTION'!$AA:$AA,D297)</f>
        <v>0</v>
      </c>
      <c r="G297" s="15"/>
      <c r="H297" s="15"/>
      <c r="I297" s="15"/>
      <c r="J297" s="16" t="s">
        <v>166</v>
      </c>
    </row>
    <row r="298" spans="1:10">
      <c r="A298" s="12" t="s">
        <v>25</v>
      </c>
      <c r="B298" s="12" t="s">
        <v>400</v>
      </c>
      <c r="C298" s="13" t="s">
        <v>439</v>
      </c>
      <c r="D298" s="12" t="s">
        <v>536</v>
      </c>
      <c r="E298" s="19">
        <f>SUMIFS('BY INTERVENTION'!$E:$E,'BY INTERVENTION'!$B:$B,B298,'BY INTERVENTION'!$C:$C,C298,'BY INTERVENTION'!$AA:$AA,D298)</f>
        <v>4550</v>
      </c>
      <c r="F298" s="20">
        <f>SUMIFS('BY INTERVENTION'!$F:$F,'BY INTERVENTION'!$B:$B,B298,'BY INTERVENTION'!$C:$C,C298,'BY INTERVENTION'!$AA:$AA,D298)</f>
        <v>0</v>
      </c>
      <c r="G298" s="15"/>
      <c r="H298" s="15"/>
      <c r="I298" s="15"/>
      <c r="J298" s="16" t="s">
        <v>412</v>
      </c>
    </row>
    <row r="299" spans="1:10">
      <c r="A299" s="12" t="s">
        <v>25</v>
      </c>
      <c r="B299" s="12" t="s">
        <v>400</v>
      </c>
      <c r="C299" s="13" t="s">
        <v>439</v>
      </c>
      <c r="D299" s="12" t="s">
        <v>519</v>
      </c>
      <c r="E299" s="19">
        <f>SUMIFS('BY INTERVENTION'!$E:$E,'BY INTERVENTION'!$B:$B,B299,'BY INTERVENTION'!$C:$C,C299,'BY INTERVENTION'!$AA:$AA,D299)</f>
        <v>48050</v>
      </c>
      <c r="F299" s="20">
        <f>SUMIFS('BY INTERVENTION'!$F:$F,'BY INTERVENTION'!$B:$B,B299,'BY INTERVENTION'!$C:$C,C299,'BY INTERVENTION'!$AA:$AA,D299)</f>
        <v>17050</v>
      </c>
      <c r="G299" s="15"/>
      <c r="H299" s="15"/>
      <c r="I299" s="15"/>
      <c r="J299" s="16" t="s">
        <v>29</v>
      </c>
    </row>
    <row r="300" ht="30" customHeight="1" spans="1:10">
      <c r="A300" s="12" t="s">
        <v>25</v>
      </c>
      <c r="B300" s="12" t="s">
        <v>400</v>
      </c>
      <c r="C300" s="13" t="s">
        <v>439</v>
      </c>
      <c r="D300" s="12" t="s">
        <v>537</v>
      </c>
      <c r="E300" s="19">
        <f>SUMIFS('BY INTERVENTION'!$E:$E,'BY INTERVENTION'!$B:$B,B300,'BY INTERVENTION'!$C:$C,C300,'BY INTERVENTION'!$AA:$AA,D300)</f>
        <v>0</v>
      </c>
      <c r="F300" s="20">
        <f>SUMIFS('BY INTERVENTION'!$F:$F,'BY INTERVENTION'!$B:$B,B300,'BY INTERVENTION'!$C:$C,C300,'BY INTERVENTION'!$AA:$AA,D300)</f>
        <v>5500</v>
      </c>
      <c r="G300" s="15"/>
      <c r="H300" s="15"/>
      <c r="I300" s="15"/>
      <c r="J300" s="16" t="s">
        <v>410</v>
      </c>
    </row>
    <row r="301" ht="30" spans="1:10">
      <c r="A301" s="12" t="s">
        <v>25</v>
      </c>
      <c r="B301" s="12" t="s">
        <v>400</v>
      </c>
      <c r="C301" s="13" t="s">
        <v>439</v>
      </c>
      <c r="D301" s="12" t="s">
        <v>520</v>
      </c>
      <c r="E301" s="19">
        <f>SUMIFS('BY INTERVENTION'!$E:$E,'BY INTERVENTION'!$B:$B,B301,'BY INTERVENTION'!$C:$C,C301,'BY INTERVENTION'!$AA:$AA,D301)</f>
        <v>31575</v>
      </c>
      <c r="F301" s="20">
        <f>SUMIFS('BY INTERVENTION'!$F:$F,'BY INTERVENTION'!$B:$B,B301,'BY INTERVENTION'!$C:$C,C301,'BY INTERVENTION'!$AA:$AA,D301)</f>
        <v>0</v>
      </c>
      <c r="G301" s="15"/>
      <c r="H301" s="15"/>
      <c r="I301" s="15"/>
      <c r="J301" s="16" t="s">
        <v>35</v>
      </c>
    </row>
    <row r="302" spans="1:10">
      <c r="A302" s="12" t="s">
        <v>25</v>
      </c>
      <c r="B302" s="12" t="s">
        <v>400</v>
      </c>
      <c r="C302" s="13" t="s">
        <v>439</v>
      </c>
      <c r="D302" s="12" t="s">
        <v>522</v>
      </c>
      <c r="E302" s="19">
        <f>SUMIFS('BY INTERVENTION'!$E:$E,'BY INTERVENTION'!$B:$B,B302,'BY INTERVENTION'!$C:$C,C302,'BY INTERVENTION'!$AA:$AA,D302)</f>
        <v>47068.3569</v>
      </c>
      <c r="F302" s="20">
        <f>SUMIFS('BY INTERVENTION'!$F:$F,'BY INTERVENTION'!$B:$B,B302,'BY INTERVENTION'!$C:$C,C302,'BY INTERVENTION'!$AA:$AA,D302)</f>
        <v>191.4189</v>
      </c>
      <c r="G302" s="15"/>
      <c r="H302" s="15"/>
      <c r="I302" s="15"/>
      <c r="J302" s="16" t="s">
        <v>64</v>
      </c>
    </row>
    <row r="303" spans="1:10">
      <c r="A303" s="12" t="s">
        <v>25</v>
      </c>
      <c r="B303" s="12" t="s">
        <v>400</v>
      </c>
      <c r="C303" s="13" t="s">
        <v>443</v>
      </c>
      <c r="D303" s="12" t="s">
        <v>536</v>
      </c>
      <c r="E303" s="19">
        <f>SUMIFS('BY INTERVENTION'!$E:$E,'BY INTERVENTION'!$B:$B,B303,'BY INTERVENTION'!$C:$C,C303,'BY INTERVENTION'!$AA:$AA,D303)</f>
        <v>4550</v>
      </c>
      <c r="F303" s="20">
        <f>SUMIFS('BY INTERVENTION'!$F:$F,'BY INTERVENTION'!$B:$B,B303,'BY INTERVENTION'!$C:$C,C303,'BY INTERVENTION'!$AA:$AA,D303)</f>
        <v>0</v>
      </c>
      <c r="G303" s="15"/>
      <c r="H303" s="15"/>
      <c r="I303" s="15"/>
      <c r="J303" s="16" t="s">
        <v>412</v>
      </c>
    </row>
    <row r="304" spans="1:10">
      <c r="A304" s="12" t="s">
        <v>25</v>
      </c>
      <c r="B304" s="12" t="s">
        <v>400</v>
      </c>
      <c r="C304" s="13" t="s">
        <v>443</v>
      </c>
      <c r="D304" s="12" t="s">
        <v>530</v>
      </c>
      <c r="E304" s="19">
        <f>SUMIFS('BY INTERVENTION'!$E:$E,'BY INTERVENTION'!$B:$B,B304,'BY INTERVENTION'!$C:$C,C304,'BY INTERVENTION'!$AA:$AA,D304)</f>
        <v>0</v>
      </c>
      <c r="F304" s="20">
        <f>SUMIFS('BY INTERVENTION'!$F:$F,'BY INTERVENTION'!$B:$B,B304,'BY INTERVENTION'!$C:$C,C304,'BY INTERVENTION'!$AA:$AA,D304)</f>
        <v>0</v>
      </c>
      <c r="G304" s="15"/>
      <c r="H304" s="15"/>
      <c r="I304" s="15"/>
      <c r="J304" s="16" t="s">
        <v>75</v>
      </c>
    </row>
    <row r="305" spans="1:10">
      <c r="A305" s="12" t="s">
        <v>25</v>
      </c>
      <c r="B305" s="12" t="s">
        <v>400</v>
      </c>
      <c r="C305" s="13" t="s">
        <v>443</v>
      </c>
      <c r="D305" s="12" t="s">
        <v>519</v>
      </c>
      <c r="E305" s="19">
        <f>SUMIFS('BY INTERVENTION'!$E:$E,'BY INTERVENTION'!$B:$B,B305,'BY INTERVENTION'!$C:$C,C305,'BY INTERVENTION'!$AA:$AA,D305)</f>
        <v>15500</v>
      </c>
      <c r="F305" s="20">
        <f>SUMIFS('BY INTERVENTION'!$F:$F,'BY INTERVENTION'!$B:$B,B305,'BY INTERVENTION'!$C:$C,C305,'BY INTERVENTION'!$AA:$AA,D305)</f>
        <v>18445</v>
      </c>
      <c r="G305" s="15"/>
      <c r="H305" s="15"/>
      <c r="I305" s="15"/>
      <c r="J305" s="16" t="s">
        <v>29</v>
      </c>
    </row>
    <row r="306" ht="30" customHeight="1" spans="1:10">
      <c r="A306" s="12" t="s">
        <v>25</v>
      </c>
      <c r="B306" s="12" t="s">
        <v>400</v>
      </c>
      <c r="C306" s="13" t="s">
        <v>443</v>
      </c>
      <c r="D306" s="12" t="s">
        <v>537</v>
      </c>
      <c r="E306" s="19">
        <f>SUMIFS('BY INTERVENTION'!$E:$E,'BY INTERVENTION'!$B:$B,B306,'BY INTERVENTION'!$C:$C,C306,'BY INTERVENTION'!$AA:$AA,D306)</f>
        <v>0</v>
      </c>
      <c r="F306" s="20">
        <f>SUMIFS('BY INTERVENTION'!$F:$F,'BY INTERVENTION'!$B:$B,B306,'BY INTERVENTION'!$C:$C,C306,'BY INTERVENTION'!$AA:$AA,D306)</f>
        <v>6100</v>
      </c>
      <c r="G306" s="15"/>
      <c r="H306" s="15"/>
      <c r="I306" s="15"/>
      <c r="J306" s="16" t="s">
        <v>410</v>
      </c>
    </row>
    <row r="307" ht="45" customHeight="1" spans="1:10">
      <c r="A307" s="12" t="s">
        <v>25</v>
      </c>
      <c r="B307" s="12" t="s">
        <v>400</v>
      </c>
      <c r="C307" s="13" t="s">
        <v>443</v>
      </c>
      <c r="D307" s="12" t="s">
        <v>520</v>
      </c>
      <c r="E307" s="19">
        <f>SUMIFS('BY INTERVENTION'!$E:$E,'BY INTERVENTION'!$B:$B,B307,'BY INTERVENTION'!$C:$C,C307,'BY INTERVENTION'!$AA:$AA,D307)</f>
        <v>2500</v>
      </c>
      <c r="F307" s="20">
        <f>SUMIFS('BY INTERVENTION'!$F:$F,'BY INTERVENTION'!$B:$B,B307,'BY INTERVENTION'!$C:$C,C307,'BY INTERVENTION'!$AA:$AA,D307)</f>
        <v>0</v>
      </c>
      <c r="G307" s="15"/>
      <c r="H307" s="15"/>
      <c r="I307" s="15"/>
      <c r="J307" s="16" t="s">
        <v>35</v>
      </c>
    </row>
    <row r="308" ht="45" spans="1:10">
      <c r="A308" s="12" t="s">
        <v>25</v>
      </c>
      <c r="B308" s="12" t="s">
        <v>400</v>
      </c>
      <c r="C308" s="13" t="s">
        <v>443</v>
      </c>
      <c r="D308" s="12" t="s">
        <v>532</v>
      </c>
      <c r="E308" s="19">
        <f>SUMIFS('BY INTERVENTION'!$E:$E,'BY INTERVENTION'!$B:$B,B308,'BY INTERVENTION'!$C:$C,C308,'BY INTERVENTION'!$AA:$AA,D308)</f>
        <v>3400</v>
      </c>
      <c r="F308" s="20">
        <f>SUMIFS('BY INTERVENTION'!$F:$F,'BY INTERVENTION'!$B:$B,B308,'BY INTERVENTION'!$C:$C,C308,'BY INTERVENTION'!$AA:$AA,D308)</f>
        <v>0</v>
      </c>
      <c r="G308" s="15"/>
      <c r="H308" s="15"/>
      <c r="I308" s="15"/>
      <c r="J308" s="16" t="s">
        <v>134</v>
      </c>
    </row>
    <row r="309" spans="1:10">
      <c r="A309" s="12" t="s">
        <v>25</v>
      </c>
      <c r="B309" s="12" t="s">
        <v>400</v>
      </c>
      <c r="C309" s="13" t="s">
        <v>443</v>
      </c>
      <c r="D309" s="12" t="s">
        <v>522</v>
      </c>
      <c r="E309" s="19">
        <f>SUMIFS('BY INTERVENTION'!$E:$E,'BY INTERVENTION'!$B:$B,B309,'BY INTERVENTION'!$C:$C,C309,'BY INTERVENTION'!$AA:$AA,D309)</f>
        <v>18281.7374</v>
      </c>
      <c r="F309" s="20">
        <f>SUMIFS('BY INTERVENTION'!$F:$F,'BY INTERVENTION'!$B:$B,B309,'BY INTERVENTION'!$C:$C,C309,'BY INTERVENTION'!$AA:$AA,D309)</f>
        <v>248.1067</v>
      </c>
      <c r="G309" s="15"/>
      <c r="H309" s="15"/>
      <c r="I309" s="15"/>
      <c r="J309" s="16" t="s">
        <v>64</v>
      </c>
    </row>
    <row r="310" spans="1:10">
      <c r="A310" s="12" t="s">
        <v>25</v>
      </c>
      <c r="B310" s="12" t="s">
        <v>400</v>
      </c>
      <c r="C310" s="13" t="s">
        <v>450</v>
      </c>
      <c r="D310" s="12" t="s">
        <v>536</v>
      </c>
      <c r="E310" s="19">
        <f>SUMIFS('BY INTERVENTION'!$E:$E,'BY INTERVENTION'!$B:$B,B310,'BY INTERVENTION'!$C:$C,C310,'BY INTERVENTION'!$AA:$AA,D310)</f>
        <v>4550</v>
      </c>
      <c r="F310" s="20">
        <f>SUMIFS('BY INTERVENTION'!$F:$F,'BY INTERVENTION'!$B:$B,B310,'BY INTERVENTION'!$C:$C,C310,'BY INTERVENTION'!$AA:$AA,D310)</f>
        <v>0</v>
      </c>
      <c r="G310" s="15"/>
      <c r="H310" s="15"/>
      <c r="I310" s="15"/>
      <c r="J310" s="16" t="s">
        <v>412</v>
      </c>
    </row>
    <row r="311" spans="1:10">
      <c r="A311" s="12" t="s">
        <v>25</v>
      </c>
      <c r="B311" s="12" t="s">
        <v>400</v>
      </c>
      <c r="C311" s="13" t="s">
        <v>450</v>
      </c>
      <c r="D311" s="12" t="s">
        <v>530</v>
      </c>
      <c r="E311" s="19">
        <f>SUMIFS('BY INTERVENTION'!$E:$E,'BY INTERVENTION'!$B:$B,B311,'BY INTERVENTION'!$C:$C,C311,'BY INTERVENTION'!$AA:$AA,D311)</f>
        <v>450</v>
      </c>
      <c r="F311" s="20">
        <f>SUMIFS('BY INTERVENTION'!$F:$F,'BY INTERVENTION'!$B:$B,B311,'BY INTERVENTION'!$C:$C,C311,'BY INTERVENTION'!$AA:$AA,D311)</f>
        <v>0</v>
      </c>
      <c r="G311" s="15"/>
      <c r="H311" s="15"/>
      <c r="I311" s="15"/>
      <c r="J311" s="16" t="s">
        <v>75</v>
      </c>
    </row>
    <row r="312" spans="1:10">
      <c r="A312" s="12" t="s">
        <v>25</v>
      </c>
      <c r="B312" s="12" t="s">
        <v>400</v>
      </c>
      <c r="C312" s="13" t="s">
        <v>450</v>
      </c>
      <c r="D312" s="12" t="s">
        <v>519</v>
      </c>
      <c r="E312" s="19">
        <f>SUMIFS('BY INTERVENTION'!$E:$E,'BY INTERVENTION'!$B:$B,B312,'BY INTERVENTION'!$C:$C,C312,'BY INTERVENTION'!$AA:$AA,D312)</f>
        <v>26350</v>
      </c>
      <c r="F312" s="20">
        <f>SUMIFS('BY INTERVENTION'!$F:$F,'BY INTERVENTION'!$B:$B,B312,'BY INTERVENTION'!$C:$C,C312,'BY INTERVENTION'!$AA:$AA,D312)</f>
        <v>91915</v>
      </c>
      <c r="G312" s="15"/>
      <c r="H312" s="15"/>
      <c r="I312" s="15"/>
      <c r="J312" s="16" t="s">
        <v>29</v>
      </c>
    </row>
    <row r="313" ht="30" customHeight="1" spans="1:10">
      <c r="A313" s="12" t="s">
        <v>25</v>
      </c>
      <c r="B313" s="12" t="s">
        <v>400</v>
      </c>
      <c r="C313" s="13" t="s">
        <v>450</v>
      </c>
      <c r="D313" s="12" t="s">
        <v>537</v>
      </c>
      <c r="E313" s="19">
        <f>SUMIFS('BY INTERVENTION'!$E:$E,'BY INTERVENTION'!$B:$B,B313,'BY INTERVENTION'!$C:$C,C313,'BY INTERVENTION'!$AA:$AA,D313)</f>
        <v>0</v>
      </c>
      <c r="F313" s="20">
        <f>SUMIFS('BY INTERVENTION'!$F:$F,'BY INTERVENTION'!$B:$B,B313,'BY INTERVENTION'!$C:$C,C313,'BY INTERVENTION'!$AA:$AA,D313)</f>
        <v>5500</v>
      </c>
      <c r="G313" s="15"/>
      <c r="H313" s="15"/>
      <c r="I313" s="15"/>
      <c r="J313" s="16" t="s">
        <v>410</v>
      </c>
    </row>
    <row r="314" ht="30" spans="1:10">
      <c r="A314" s="12" t="s">
        <v>25</v>
      </c>
      <c r="B314" s="12" t="s">
        <v>400</v>
      </c>
      <c r="C314" s="13" t="s">
        <v>450</v>
      </c>
      <c r="D314" s="12" t="s">
        <v>520</v>
      </c>
      <c r="E314" s="19">
        <f>SUMIFS('BY INTERVENTION'!$E:$E,'BY INTERVENTION'!$B:$B,B314,'BY INTERVENTION'!$C:$C,C314,'BY INTERVENTION'!$AA:$AA,D314)</f>
        <v>2462.5</v>
      </c>
      <c r="F314" s="20">
        <f>SUMIFS('BY INTERVENTION'!$F:$F,'BY INTERVENTION'!$B:$B,B314,'BY INTERVENTION'!$C:$C,C314,'BY INTERVENTION'!$AA:$AA,D314)</f>
        <v>0</v>
      </c>
      <c r="G314" s="15"/>
      <c r="H314" s="15"/>
      <c r="I314" s="15"/>
      <c r="J314" s="16" t="s">
        <v>35</v>
      </c>
    </row>
    <row r="315" spans="1:10">
      <c r="A315" s="12" t="s">
        <v>25</v>
      </c>
      <c r="B315" s="12" t="s">
        <v>400</v>
      </c>
      <c r="C315" s="13" t="s">
        <v>450</v>
      </c>
      <c r="D315" s="12" t="s">
        <v>522</v>
      </c>
      <c r="E315" s="19">
        <f>SUMIFS('BY INTERVENTION'!$E:$E,'BY INTERVENTION'!$B:$B,B315,'BY INTERVENTION'!$C:$C,C315,'BY INTERVENTION'!$AA:$AA,D315)</f>
        <v>4397.514</v>
      </c>
      <c r="F315" s="20">
        <f>SUMIFS('BY INTERVENTION'!$F:$F,'BY INTERVENTION'!$B:$B,B315,'BY INTERVENTION'!$C:$C,C315,'BY INTERVENTION'!$AA:$AA,D315)</f>
        <v>75.236</v>
      </c>
      <c r="G315" s="15"/>
      <c r="H315" s="15"/>
      <c r="I315" s="15"/>
      <c r="J315" s="16" t="s">
        <v>64</v>
      </c>
    </row>
    <row r="316" spans="1:10">
      <c r="A316" s="12" t="s">
        <v>25</v>
      </c>
      <c r="B316" s="12" t="s">
        <v>400</v>
      </c>
      <c r="C316" s="13" t="s">
        <v>450</v>
      </c>
      <c r="D316" s="12" t="s">
        <v>533</v>
      </c>
      <c r="E316" s="19">
        <f>SUMIFS('BY INTERVENTION'!$E:$E,'BY INTERVENTION'!$B:$B,B316,'BY INTERVENTION'!$C:$C,C316,'BY INTERVENTION'!$AA:$AA,D316)</f>
        <v>2508.966</v>
      </c>
      <c r="F316" s="20">
        <f>SUMIFS('BY INTERVENTION'!$F:$F,'BY INTERVENTION'!$B:$B,B316,'BY INTERVENTION'!$C:$C,C316,'BY INTERVENTION'!$AA:$AA,D316)</f>
        <v>0</v>
      </c>
      <c r="G316" s="15"/>
      <c r="H316" s="15"/>
      <c r="I316" s="15"/>
      <c r="J316" s="16" t="s">
        <v>166</v>
      </c>
    </row>
    <row r="317" ht="30" customHeight="1" spans="1:10">
      <c r="A317" s="12" t="s">
        <v>25</v>
      </c>
      <c r="B317" s="12" t="s">
        <v>400</v>
      </c>
      <c r="C317" s="13" t="s">
        <v>453</v>
      </c>
      <c r="D317" s="12" t="s">
        <v>519</v>
      </c>
      <c r="E317" s="19">
        <f>SUMIFS('BY INTERVENTION'!$E:$E,'BY INTERVENTION'!$B:$B,B317,'BY INTERVENTION'!$C:$C,C317,'BY INTERVENTION'!$AA:$AA,D317)</f>
        <v>15500</v>
      </c>
      <c r="F317" s="20">
        <f>SUMIFS('BY INTERVENTION'!$F:$F,'BY INTERVENTION'!$B:$B,B317,'BY INTERVENTION'!$C:$C,C317,'BY INTERVENTION'!$AA:$AA,D317)</f>
        <v>43400</v>
      </c>
      <c r="G317" s="15"/>
      <c r="H317" s="15"/>
      <c r="I317" s="15"/>
      <c r="J317" s="16" t="s">
        <v>29</v>
      </c>
    </row>
    <row r="318" ht="30" spans="1:10">
      <c r="A318" s="12" t="s">
        <v>25</v>
      </c>
      <c r="B318" s="12" t="s">
        <v>400</v>
      </c>
      <c r="C318" s="13" t="s">
        <v>453</v>
      </c>
      <c r="D318" s="12" t="s">
        <v>520</v>
      </c>
      <c r="E318" s="19">
        <f>SUMIFS('BY INTERVENTION'!$E:$E,'BY INTERVENTION'!$B:$B,B318,'BY INTERVENTION'!$C:$C,C318,'BY INTERVENTION'!$AA:$AA,D318)</f>
        <v>10670</v>
      </c>
      <c r="F318" s="20">
        <f>SUMIFS('BY INTERVENTION'!$F:$F,'BY INTERVENTION'!$B:$B,B318,'BY INTERVENTION'!$C:$C,C318,'BY INTERVENTION'!$AA:$AA,D318)</f>
        <v>0</v>
      </c>
      <c r="G318" s="15"/>
      <c r="H318" s="15"/>
      <c r="I318" s="15"/>
      <c r="J318" s="16" t="s">
        <v>35</v>
      </c>
    </row>
    <row r="319" spans="1:10">
      <c r="A319" s="12" t="s">
        <v>25</v>
      </c>
      <c r="B319" s="12" t="s">
        <v>400</v>
      </c>
      <c r="C319" s="13" t="s">
        <v>456</v>
      </c>
      <c r="D319" s="12" t="s">
        <v>530</v>
      </c>
      <c r="E319" s="19">
        <f>SUMIFS('BY INTERVENTION'!$E:$E,'BY INTERVENTION'!$B:$B,B319,'BY INTERVENTION'!$C:$C,C319,'BY INTERVENTION'!$AA:$AA,D319)</f>
        <v>2900</v>
      </c>
      <c r="F319" s="20">
        <f>SUMIFS('BY INTERVENTION'!$F:$F,'BY INTERVENTION'!$B:$B,B319,'BY INTERVENTION'!$C:$C,C319,'BY INTERVENTION'!$AA:$AA,D319)</f>
        <v>0</v>
      </c>
      <c r="G319" s="15"/>
      <c r="H319" s="15"/>
      <c r="I319" s="15"/>
      <c r="J319" s="16" t="s">
        <v>75</v>
      </c>
    </row>
    <row r="320" spans="1:10">
      <c r="A320" s="12" t="s">
        <v>25</v>
      </c>
      <c r="B320" s="12" t="s">
        <v>400</v>
      </c>
      <c r="C320" s="13" t="s">
        <v>456</v>
      </c>
      <c r="D320" s="12" t="s">
        <v>519</v>
      </c>
      <c r="E320" s="19">
        <f>SUMIFS('BY INTERVENTION'!$E:$E,'BY INTERVENTION'!$B:$B,B320,'BY INTERVENTION'!$C:$C,C320,'BY INTERVENTION'!$AA:$AA,D320)</f>
        <v>0</v>
      </c>
      <c r="F320" s="20">
        <f>SUMIFS('BY INTERVENTION'!$F:$F,'BY INTERVENTION'!$B:$B,B320,'BY INTERVENTION'!$C:$C,C320,'BY INTERVENTION'!$AA:$AA,D320)</f>
        <v>33015</v>
      </c>
      <c r="G320" s="15"/>
      <c r="H320" s="15"/>
      <c r="I320" s="15"/>
      <c r="J320" s="16" t="s">
        <v>29</v>
      </c>
    </row>
    <row r="321" spans="1:10">
      <c r="A321" s="12" t="s">
        <v>25</v>
      </c>
      <c r="B321" s="12" t="s">
        <v>400</v>
      </c>
      <c r="C321" s="13" t="s">
        <v>456</v>
      </c>
      <c r="D321" s="12" t="s">
        <v>535</v>
      </c>
      <c r="E321" s="19">
        <f>SUMIFS('BY INTERVENTION'!$E:$E,'BY INTERVENTION'!$B:$B,B321,'BY INTERVENTION'!$C:$C,C321,'BY INTERVENTION'!$AA:$AA,D321)</f>
        <v>3500</v>
      </c>
      <c r="F321" s="20">
        <f>SUMIFS('BY INTERVENTION'!$F:$F,'BY INTERVENTION'!$B:$B,B321,'BY INTERVENTION'!$C:$C,C321,'BY INTERVENTION'!$AA:$AA,D321)</f>
        <v>0</v>
      </c>
      <c r="G321" s="15"/>
      <c r="H321" s="15"/>
      <c r="I321" s="15"/>
      <c r="J321" s="16" t="s">
        <v>288</v>
      </c>
    </row>
    <row r="322" spans="1:10">
      <c r="A322" s="12" t="s">
        <v>25</v>
      </c>
      <c r="B322" s="12" t="s">
        <v>400</v>
      </c>
      <c r="C322" s="13" t="s">
        <v>456</v>
      </c>
      <c r="D322" s="12" t="s">
        <v>522</v>
      </c>
      <c r="E322" s="19">
        <f>SUMIFS('BY INTERVENTION'!$E:$E,'BY INTERVENTION'!$B:$B,B322,'BY INTERVENTION'!$C:$C,C322,'BY INTERVENTION'!$AA:$AA,D322)</f>
        <v>61210.7209</v>
      </c>
      <c r="F322" s="20">
        <f>SUMIFS('BY INTERVENTION'!$F:$F,'BY INTERVENTION'!$B:$B,B322,'BY INTERVENTION'!$C:$C,C322,'BY INTERVENTION'!$AA:$AA,D322)</f>
        <v>475.2936</v>
      </c>
      <c r="G322" s="15"/>
      <c r="H322" s="15"/>
      <c r="I322" s="15"/>
      <c r="J322" s="16" t="s">
        <v>64</v>
      </c>
    </row>
    <row r="323" spans="1:10">
      <c r="A323" s="12" t="s">
        <v>25</v>
      </c>
      <c r="B323" s="12" t="s">
        <v>400</v>
      </c>
      <c r="C323" s="13" t="s">
        <v>459</v>
      </c>
      <c r="D323" s="12" t="s">
        <v>530</v>
      </c>
      <c r="E323" s="19">
        <f>SUMIFS('BY INTERVENTION'!$E:$E,'BY INTERVENTION'!$B:$B,B323,'BY INTERVENTION'!$C:$C,C323,'BY INTERVENTION'!$AA:$AA,D323)</f>
        <v>3100</v>
      </c>
      <c r="F323" s="20">
        <f>SUMIFS('BY INTERVENTION'!$F:$F,'BY INTERVENTION'!$B:$B,B323,'BY INTERVENTION'!$C:$C,C323,'BY INTERVENTION'!$AA:$AA,D323)</f>
        <v>2000</v>
      </c>
      <c r="G323" s="15"/>
      <c r="H323" s="15"/>
      <c r="I323" s="15"/>
      <c r="J323" s="16" t="s">
        <v>75</v>
      </c>
    </row>
    <row r="324" ht="30" customHeight="1" spans="1:10">
      <c r="A324" s="12" t="s">
        <v>25</v>
      </c>
      <c r="B324" s="12" t="s">
        <v>400</v>
      </c>
      <c r="C324" s="13" t="s">
        <v>459</v>
      </c>
      <c r="D324" s="12" t="s">
        <v>519</v>
      </c>
      <c r="E324" s="19">
        <f>SUMIFS('BY INTERVENTION'!$E:$E,'BY INTERVENTION'!$B:$B,B324,'BY INTERVENTION'!$C:$C,C324,'BY INTERVENTION'!$AA:$AA,D324)</f>
        <v>0</v>
      </c>
      <c r="F324" s="20">
        <f>SUMIFS('BY INTERVENTION'!$F:$F,'BY INTERVENTION'!$B:$B,B324,'BY INTERVENTION'!$C:$C,C324,'BY INTERVENTION'!$AA:$AA,D324)</f>
        <v>23250</v>
      </c>
      <c r="G324" s="15"/>
      <c r="H324" s="15"/>
      <c r="I324" s="15"/>
      <c r="J324" s="16" t="s">
        <v>29</v>
      </c>
    </row>
    <row r="325" ht="30" spans="1:10">
      <c r="A325" s="12" t="s">
        <v>25</v>
      </c>
      <c r="B325" s="12" t="s">
        <v>400</v>
      </c>
      <c r="C325" s="13" t="s">
        <v>459</v>
      </c>
      <c r="D325" s="12" t="s">
        <v>520</v>
      </c>
      <c r="E325" s="19">
        <f>SUMIFS('BY INTERVENTION'!$E:$E,'BY INTERVENTION'!$B:$B,B325,'BY INTERVENTION'!$C:$C,C325,'BY INTERVENTION'!$AA:$AA,D325)</f>
        <v>2000</v>
      </c>
      <c r="F325" s="20">
        <f>SUMIFS('BY INTERVENTION'!$F:$F,'BY INTERVENTION'!$B:$B,B325,'BY INTERVENTION'!$C:$C,C325,'BY INTERVENTION'!$AA:$AA,D325)</f>
        <v>0</v>
      </c>
      <c r="G325" s="15"/>
      <c r="H325" s="15"/>
      <c r="I325" s="15"/>
      <c r="J325" s="16" t="s">
        <v>35</v>
      </c>
    </row>
    <row r="326" spans="1:10">
      <c r="A326" s="12" t="s">
        <v>25</v>
      </c>
      <c r="B326" s="12" t="s">
        <v>400</v>
      </c>
      <c r="C326" s="13" t="s">
        <v>459</v>
      </c>
      <c r="D326" s="12" t="s">
        <v>522</v>
      </c>
      <c r="E326" s="19">
        <f>SUMIFS('BY INTERVENTION'!$E:$E,'BY INTERVENTION'!$B:$B,B326,'BY INTERVENTION'!$C:$C,C326,'BY INTERVENTION'!$AA:$AA,D326)</f>
        <v>10367.1942</v>
      </c>
      <c r="F326" s="20">
        <f>SUMIFS('BY INTERVENTION'!$F:$F,'BY INTERVENTION'!$B:$B,B326,'BY INTERVENTION'!$C:$C,C326,'BY INTERVENTION'!$AA:$AA,D326)</f>
        <v>177.3698</v>
      </c>
      <c r="G326" s="15"/>
      <c r="H326" s="15"/>
      <c r="I326" s="15"/>
      <c r="J326" s="16" t="s">
        <v>64</v>
      </c>
    </row>
    <row r="327" spans="1:10">
      <c r="A327" s="12" t="s">
        <v>25</v>
      </c>
      <c r="B327" s="12" t="s">
        <v>400</v>
      </c>
      <c r="C327" s="13" t="s">
        <v>459</v>
      </c>
      <c r="D327" s="12" t="s">
        <v>521</v>
      </c>
      <c r="E327" s="19">
        <f>SUMIFS('BY INTERVENTION'!$E:$E,'BY INTERVENTION'!$B:$B,B327,'BY INTERVENTION'!$C:$C,C327,'BY INTERVENTION'!$AA:$AA,D327)</f>
        <v>1800</v>
      </c>
      <c r="F327" s="20">
        <f>SUMIFS('BY INTERVENTION'!$F:$F,'BY INTERVENTION'!$B:$B,B327,'BY INTERVENTION'!$C:$C,C327,'BY INTERVENTION'!$AA:$AA,D327)</f>
        <v>0</v>
      </c>
      <c r="G327" s="15"/>
      <c r="H327" s="15"/>
      <c r="I327" s="15"/>
      <c r="J327" s="16" t="s">
        <v>33</v>
      </c>
    </row>
    <row r="328" spans="1:10">
      <c r="A328" s="12" t="s">
        <v>25</v>
      </c>
      <c r="B328" s="12" t="s">
        <v>461</v>
      </c>
      <c r="C328" s="13" t="s">
        <v>462</v>
      </c>
      <c r="D328" s="12" t="s">
        <v>530</v>
      </c>
      <c r="E328" s="19">
        <f>SUMIFS('BY INTERVENTION'!$E:$E,'BY INTERVENTION'!$B:$B,B328,'BY INTERVENTION'!$C:$C,C328,'BY INTERVENTION'!$AA:$AA,D328)</f>
        <v>9782</v>
      </c>
      <c r="F328" s="20">
        <f>SUMIFS('BY INTERVENTION'!$F:$F,'BY INTERVENTION'!$B:$B,B328,'BY INTERVENTION'!$C:$C,C328,'BY INTERVENTION'!$AA:$AA,D328)</f>
        <v>117000</v>
      </c>
      <c r="G328" s="15"/>
      <c r="H328" s="15"/>
      <c r="I328" s="15"/>
      <c r="J328" s="16" t="s">
        <v>75</v>
      </c>
    </row>
    <row r="329" spans="1:10">
      <c r="A329" s="12" t="s">
        <v>25</v>
      </c>
      <c r="B329" s="12" t="s">
        <v>461</v>
      </c>
      <c r="C329" s="13" t="s">
        <v>462</v>
      </c>
      <c r="D329" s="12" t="s">
        <v>519</v>
      </c>
      <c r="E329" s="19">
        <f>SUMIFS('BY INTERVENTION'!$E:$E,'BY INTERVENTION'!$B:$B,B329,'BY INTERVENTION'!$C:$C,C329,'BY INTERVENTION'!$AA:$AA,D329)</f>
        <v>31000</v>
      </c>
      <c r="F329" s="20">
        <f>SUMIFS('BY INTERVENTION'!$F:$F,'BY INTERVENTION'!$B:$B,B329,'BY INTERVENTION'!$C:$C,C329,'BY INTERVENTION'!$AA:$AA,D329)</f>
        <v>45000</v>
      </c>
      <c r="G329" s="15"/>
      <c r="H329" s="15"/>
      <c r="I329" s="15"/>
      <c r="J329" s="16" t="s">
        <v>29</v>
      </c>
    </row>
    <row r="330" spans="1:10">
      <c r="A330" s="12" t="s">
        <v>25</v>
      </c>
      <c r="B330" s="12" t="s">
        <v>461</v>
      </c>
      <c r="C330" s="13" t="s">
        <v>462</v>
      </c>
      <c r="D330" s="12" t="s">
        <v>537</v>
      </c>
      <c r="E330" s="19">
        <f>SUMIFS('BY INTERVENTION'!$E:$E,'BY INTERVENTION'!$B:$B,B330,'BY INTERVENTION'!$C:$C,C330,'BY INTERVENTION'!$AA:$AA,D330)</f>
        <v>0</v>
      </c>
      <c r="F330" s="20">
        <f>SUMIFS('BY INTERVENTION'!$F:$F,'BY INTERVENTION'!$B:$B,B330,'BY INTERVENTION'!$C:$C,C330,'BY INTERVENTION'!$AA:$AA,D330)</f>
        <v>1500</v>
      </c>
      <c r="G330" s="15"/>
      <c r="H330" s="15"/>
      <c r="I330" s="15"/>
      <c r="J330" s="16" t="s">
        <v>410</v>
      </c>
    </row>
    <row r="331" spans="1:10">
      <c r="A331" s="12" t="s">
        <v>25</v>
      </c>
      <c r="B331" s="12" t="s">
        <v>461</v>
      </c>
      <c r="C331" s="13" t="s">
        <v>462</v>
      </c>
      <c r="D331" s="12" t="s">
        <v>522</v>
      </c>
      <c r="E331" s="23">
        <f>SUMIFS('BY INTERVENTION'!$E:$E,'BY INTERVENTION'!$B:$B,B331,'BY INTERVENTION'!$C:$C,C331,'BY INTERVENTION'!$AA:$AA,D331)</f>
        <v>15844.0752</v>
      </c>
      <c r="F331" s="24">
        <f>SUMIFS('BY INTERVENTION'!$F:$F,'BY INTERVENTION'!$B:$B,B331,'BY INTERVENTION'!$C:$C,C331,'BY INTERVENTION'!$AA:$AA,D331)</f>
        <v>212.5495</v>
      </c>
      <c r="G331" s="15"/>
      <c r="H331" s="15"/>
      <c r="I331" s="15"/>
      <c r="J331" s="16" t="s">
        <v>64</v>
      </c>
    </row>
    <row r="332" spans="1:10">
      <c r="A332" s="12" t="s">
        <v>25</v>
      </c>
      <c r="B332" s="12" t="s">
        <v>461</v>
      </c>
      <c r="C332" s="13" t="s">
        <v>468</v>
      </c>
      <c r="D332" s="12" t="s">
        <v>530</v>
      </c>
      <c r="E332" s="19">
        <f>SUMIFS('BY INTERVENTION'!$E:$E,'BY INTERVENTION'!$B:$B,B332,'BY INTERVENTION'!$C:$C,C332,'BY INTERVENTION'!$AA:$AA,D332)</f>
        <v>2850</v>
      </c>
      <c r="F332" s="20">
        <f>SUMIFS('BY INTERVENTION'!$F:$F,'BY INTERVENTION'!$B:$B,B332,'BY INTERVENTION'!$C:$C,C332,'BY INTERVENTION'!$AA:$AA,D332)</f>
        <v>0</v>
      </c>
      <c r="G332" s="15"/>
      <c r="H332" s="15"/>
      <c r="I332" s="15"/>
      <c r="J332" s="16" t="s">
        <v>75</v>
      </c>
    </row>
    <row r="333" ht="30" customHeight="1" spans="1:10">
      <c r="A333" s="12" t="s">
        <v>25</v>
      </c>
      <c r="B333" s="12" t="s">
        <v>461</v>
      </c>
      <c r="C333" s="13" t="s">
        <v>468</v>
      </c>
      <c r="D333" s="12" t="s">
        <v>519</v>
      </c>
      <c r="E333" s="19">
        <f>SUMIFS('BY INTERVENTION'!$E:$E,'BY INTERVENTION'!$B:$B,B333,'BY INTERVENTION'!$C:$C,C333,'BY INTERVENTION'!$AA:$AA,D333)</f>
        <v>15500</v>
      </c>
      <c r="F333" s="20">
        <f>SUMIFS('BY INTERVENTION'!$F:$F,'BY INTERVENTION'!$B:$B,B333,'BY INTERVENTION'!$C:$C,C333,'BY INTERVENTION'!$AA:$AA,D333)</f>
        <v>16500</v>
      </c>
      <c r="G333" s="15"/>
      <c r="H333" s="15"/>
      <c r="I333" s="15"/>
      <c r="J333" s="16" t="s">
        <v>29</v>
      </c>
    </row>
    <row r="334" ht="45" customHeight="1" spans="1:10">
      <c r="A334" s="12" t="s">
        <v>25</v>
      </c>
      <c r="B334" s="12" t="s">
        <v>461</v>
      </c>
      <c r="C334" s="13" t="s">
        <v>468</v>
      </c>
      <c r="D334" s="12" t="s">
        <v>520</v>
      </c>
      <c r="E334" s="19">
        <f>SUMIFS('BY INTERVENTION'!$E:$E,'BY INTERVENTION'!$B:$B,B334,'BY INTERVENTION'!$C:$C,C334,'BY INTERVENTION'!$AA:$AA,D334)</f>
        <v>200</v>
      </c>
      <c r="F334" s="20">
        <f>SUMIFS('BY INTERVENTION'!$F:$F,'BY INTERVENTION'!$B:$B,B334,'BY INTERVENTION'!$C:$C,C334,'BY INTERVENTION'!$AA:$AA,D334)</f>
        <v>0</v>
      </c>
      <c r="G334" s="15"/>
      <c r="H334" s="15"/>
      <c r="I334" s="15"/>
      <c r="J334" s="16" t="s">
        <v>35</v>
      </c>
    </row>
    <row r="335" ht="45" spans="1:10">
      <c r="A335" s="12" t="s">
        <v>25</v>
      </c>
      <c r="B335" s="12" t="s">
        <v>461</v>
      </c>
      <c r="C335" s="13" t="s">
        <v>468</v>
      </c>
      <c r="D335" s="12" t="s">
        <v>531</v>
      </c>
      <c r="E335" s="19">
        <f>SUMIFS('BY INTERVENTION'!$E:$E,'BY INTERVENTION'!$B:$B,B335,'BY INTERVENTION'!$C:$C,C335,'BY INTERVENTION'!$AA:$AA,D335)</f>
        <v>1500</v>
      </c>
      <c r="F335" s="20">
        <f>SUMIFS('BY INTERVENTION'!$F:$F,'BY INTERVENTION'!$B:$B,B335,'BY INTERVENTION'!$C:$C,C335,'BY INTERVENTION'!$AA:$AA,D335)</f>
        <v>0</v>
      </c>
      <c r="G335" s="15"/>
      <c r="H335" s="15"/>
      <c r="I335" s="15"/>
      <c r="J335" s="16" t="s">
        <v>80</v>
      </c>
    </row>
    <row r="336" spans="1:10">
      <c r="A336" s="12" t="s">
        <v>25</v>
      </c>
      <c r="B336" s="12" t="s">
        <v>461</v>
      </c>
      <c r="C336" s="13" t="s">
        <v>471</v>
      </c>
      <c r="D336" s="12" t="s">
        <v>530</v>
      </c>
      <c r="E336" s="19">
        <f>SUMIFS('BY INTERVENTION'!$E:$E,'BY INTERVENTION'!$B:$B,B336,'BY INTERVENTION'!$C:$C,C336,'BY INTERVENTION'!$AA:$AA,D336)</f>
        <v>1650</v>
      </c>
      <c r="F336" s="20">
        <f>SUMIFS('BY INTERVENTION'!$F:$F,'BY INTERVENTION'!$B:$B,B336,'BY INTERVENTION'!$C:$C,C336,'BY INTERVENTION'!$AA:$AA,D336)</f>
        <v>0</v>
      </c>
      <c r="G336" s="15"/>
      <c r="H336" s="15"/>
      <c r="I336" s="15"/>
      <c r="J336" s="16" t="s">
        <v>96</v>
      </c>
    </row>
    <row r="337" spans="1:10">
      <c r="A337" s="12" t="s">
        <v>25</v>
      </c>
      <c r="B337" s="12" t="s">
        <v>461</v>
      </c>
      <c r="C337" s="13" t="s">
        <v>471</v>
      </c>
      <c r="D337" s="12" t="s">
        <v>519</v>
      </c>
      <c r="E337" s="19">
        <f>SUMIFS('BY INTERVENTION'!$E:$E,'BY INTERVENTION'!$B:$B,B337,'BY INTERVENTION'!$C:$C,C337,'BY INTERVENTION'!$AA:$AA,D337)</f>
        <v>15500</v>
      </c>
      <c r="F337" s="20">
        <f>SUMIFS('BY INTERVENTION'!$F:$F,'BY INTERVENTION'!$B:$B,B337,'BY INTERVENTION'!$C:$C,C337,'BY INTERVENTION'!$AA:$AA,D337)</f>
        <v>123000</v>
      </c>
      <c r="G337" s="15"/>
      <c r="H337" s="15"/>
      <c r="I337" s="15"/>
      <c r="J337" s="16" t="s">
        <v>29</v>
      </c>
    </row>
    <row r="338" ht="45" customHeight="1" spans="1:10">
      <c r="A338" s="12" t="s">
        <v>25</v>
      </c>
      <c r="B338" s="12" t="s">
        <v>461</v>
      </c>
      <c r="C338" s="13" t="s">
        <v>471</v>
      </c>
      <c r="D338" s="12" t="s">
        <v>537</v>
      </c>
      <c r="E338" s="19">
        <f>SUMIFS('BY INTERVENTION'!$E:$E,'BY INTERVENTION'!$B:$B,B338,'BY INTERVENTION'!$C:$C,C338,'BY INTERVENTION'!$AA:$AA,D338)</f>
        <v>0</v>
      </c>
      <c r="F338" s="20">
        <f>SUMIFS('BY INTERVENTION'!$F:$F,'BY INTERVENTION'!$B:$B,B338,'BY INTERVENTION'!$C:$C,C338,'BY INTERVENTION'!$AA:$AA,D338)</f>
        <v>23645</v>
      </c>
      <c r="G338" s="15"/>
      <c r="H338" s="15"/>
      <c r="I338" s="15"/>
      <c r="J338" s="16" t="s">
        <v>410</v>
      </c>
    </row>
    <row r="339" ht="45" spans="1:10">
      <c r="A339" s="12" t="s">
        <v>25</v>
      </c>
      <c r="B339" s="12" t="s">
        <v>461</v>
      </c>
      <c r="C339" s="13" t="s">
        <v>471</v>
      </c>
      <c r="D339" s="12" t="s">
        <v>531</v>
      </c>
      <c r="E339" s="19">
        <f>SUMIFS('BY INTERVENTION'!$E:$E,'BY INTERVENTION'!$B:$B,B339,'BY INTERVENTION'!$C:$C,C339,'BY INTERVENTION'!$AA:$AA,D339)</f>
        <v>2500</v>
      </c>
      <c r="F339" s="20">
        <f>SUMIFS('BY INTERVENTION'!$F:$F,'BY INTERVENTION'!$B:$B,B339,'BY INTERVENTION'!$C:$C,C339,'BY INTERVENTION'!$AA:$AA,D339)</f>
        <v>0</v>
      </c>
      <c r="G339" s="15"/>
      <c r="H339" s="15"/>
      <c r="I339" s="15"/>
      <c r="J339" s="16" t="s">
        <v>80</v>
      </c>
    </row>
    <row r="340" spans="1:10">
      <c r="A340" s="12" t="s">
        <v>25</v>
      </c>
      <c r="B340" s="12" t="s">
        <v>461</v>
      </c>
      <c r="C340" s="13" t="s">
        <v>471</v>
      </c>
      <c r="D340" s="12" t="s">
        <v>522</v>
      </c>
      <c r="E340" s="23">
        <f>SUMIFS('BY INTERVENTION'!$E:$E,'BY INTERVENTION'!$B:$B,B340,'BY INTERVENTION'!$C:$C,C340,'BY INTERVENTION'!$AA:$AA,D340)</f>
        <v>109377.9378</v>
      </c>
      <c r="F340" s="24">
        <f>SUMIFS('BY INTERVENTION'!$F:$F,'BY INTERVENTION'!$B:$B,B340,'BY INTERVENTION'!$C:$C,C340,'BY INTERVENTION'!$AA:$AA,D340)</f>
        <v>565.8202</v>
      </c>
      <c r="G340" s="15"/>
      <c r="H340" s="15"/>
      <c r="I340" s="15"/>
      <c r="J340" s="16" t="s">
        <v>64</v>
      </c>
    </row>
    <row r="341" spans="1:10">
      <c r="A341" s="12" t="s">
        <v>25</v>
      </c>
      <c r="B341" s="12" t="s">
        <v>461</v>
      </c>
      <c r="C341" s="13" t="s">
        <v>480</v>
      </c>
      <c r="D341" s="12" t="s">
        <v>530</v>
      </c>
      <c r="E341" s="19">
        <f>SUMIFS('BY INTERVENTION'!$E:$E,'BY INTERVENTION'!$B:$B,B341,'BY INTERVENTION'!$C:$C,C341,'BY INTERVENTION'!$AA:$AA,D341)</f>
        <v>611932.5</v>
      </c>
      <c r="F341" s="20">
        <f>SUMIFS('BY INTERVENTION'!$F:$F,'BY INTERVENTION'!$B:$B,B341,'BY INTERVENTION'!$C:$C,C341,'BY INTERVENTION'!$AA:$AA,D341)</f>
        <v>0</v>
      </c>
      <c r="G341" s="15"/>
      <c r="H341" s="15"/>
      <c r="I341" s="15"/>
      <c r="J341" s="16" t="s">
        <v>75</v>
      </c>
    </row>
    <row r="342" ht="30" customHeight="1" spans="1:10">
      <c r="A342" s="12" t="s">
        <v>25</v>
      </c>
      <c r="B342" s="12" t="s">
        <v>461</v>
      </c>
      <c r="C342" s="13" t="s">
        <v>480</v>
      </c>
      <c r="D342" s="12" t="s">
        <v>519</v>
      </c>
      <c r="E342" s="19">
        <f>SUMIFS('BY INTERVENTION'!$E:$E,'BY INTERVENTION'!$B:$B,B342,'BY INTERVENTION'!$C:$C,C342,'BY INTERVENTION'!$AA:$AA,D342)</f>
        <v>15500</v>
      </c>
      <c r="F342" s="20">
        <f>SUMIFS('BY INTERVENTION'!$F:$F,'BY INTERVENTION'!$B:$B,B342,'BY INTERVENTION'!$C:$C,C342,'BY INTERVENTION'!$AA:$AA,D342)</f>
        <v>84966</v>
      </c>
      <c r="G342" s="15"/>
      <c r="H342" s="15"/>
      <c r="I342" s="15"/>
      <c r="J342" s="16" t="s">
        <v>29</v>
      </c>
    </row>
    <row r="343" ht="45" customHeight="1" spans="1:10">
      <c r="A343" s="12" t="s">
        <v>25</v>
      </c>
      <c r="B343" s="12" t="s">
        <v>461</v>
      </c>
      <c r="C343" s="13" t="s">
        <v>480</v>
      </c>
      <c r="D343" s="12" t="s">
        <v>520</v>
      </c>
      <c r="E343" s="19">
        <f>SUMIFS('BY INTERVENTION'!$E:$E,'BY INTERVENTION'!$B:$B,B343,'BY INTERVENTION'!$C:$C,C343,'BY INTERVENTION'!$AA:$AA,D343)</f>
        <v>810</v>
      </c>
      <c r="F343" s="20">
        <f>SUMIFS('BY INTERVENTION'!$F:$F,'BY INTERVENTION'!$B:$B,B343,'BY INTERVENTION'!$C:$C,C343,'BY INTERVENTION'!$AA:$AA,D343)</f>
        <v>0</v>
      </c>
      <c r="G343" s="15"/>
      <c r="H343" s="15"/>
      <c r="I343" s="15"/>
      <c r="J343" s="16" t="s">
        <v>35</v>
      </c>
    </row>
    <row r="344" ht="45" spans="1:10">
      <c r="A344" s="12" t="s">
        <v>25</v>
      </c>
      <c r="B344" s="12" t="s">
        <v>461</v>
      </c>
      <c r="C344" s="13" t="s">
        <v>480</v>
      </c>
      <c r="D344" s="12" t="s">
        <v>532</v>
      </c>
      <c r="E344" s="19">
        <f>SUMIFS('BY INTERVENTION'!$E:$E,'BY INTERVENTION'!$B:$B,B344,'BY INTERVENTION'!$C:$C,C344,'BY INTERVENTION'!$AA:$AA,D344)</f>
        <v>7750</v>
      </c>
      <c r="F344" s="20">
        <f>SUMIFS('BY INTERVENTION'!$F:$F,'BY INTERVENTION'!$B:$B,B344,'BY INTERVENTION'!$C:$C,C344,'BY INTERVENTION'!$AA:$AA,D344)</f>
        <v>0</v>
      </c>
      <c r="G344" s="15"/>
      <c r="H344" s="15"/>
      <c r="I344" s="15"/>
      <c r="J344" s="16" t="s">
        <v>134</v>
      </c>
    </row>
    <row r="345" spans="1:10">
      <c r="A345" s="12" t="s">
        <v>25</v>
      </c>
      <c r="B345" s="12" t="s">
        <v>461</v>
      </c>
      <c r="C345" s="13" t="s">
        <v>480</v>
      </c>
      <c r="D345" s="12" t="s">
        <v>522</v>
      </c>
      <c r="E345" s="19">
        <f>SUMIFS('BY INTERVENTION'!$E:$E,'BY INTERVENTION'!$B:$B,B345,'BY INTERVENTION'!$C:$C,C345,'BY INTERVENTION'!$AA:$AA,D345)</f>
        <v>34476.9318</v>
      </c>
      <c r="F345" s="20">
        <f>SUMIFS('BY INTERVENTION'!$F:$F,'BY INTERVENTION'!$B:$B,B345,'BY INTERVENTION'!$C:$C,C345,'BY INTERVENTION'!$AA:$AA,D345)</f>
        <v>314.9448</v>
      </c>
      <c r="G345" s="15"/>
      <c r="H345" s="15"/>
      <c r="I345" s="15"/>
      <c r="J345" s="16" t="s">
        <v>64</v>
      </c>
    </row>
    <row r="346" spans="1:10">
      <c r="A346" s="12" t="s">
        <v>25</v>
      </c>
      <c r="B346" s="12" t="s">
        <v>461</v>
      </c>
      <c r="C346" s="13" t="s">
        <v>486</v>
      </c>
      <c r="D346" s="12" t="s">
        <v>530</v>
      </c>
      <c r="E346" s="19">
        <f>SUMIFS('BY INTERVENTION'!$E:$E,'BY INTERVENTION'!$B:$B,B346,'BY INTERVENTION'!$C:$C,C346,'BY INTERVENTION'!$AA:$AA,D346)</f>
        <v>11710</v>
      </c>
      <c r="F346" s="20">
        <f>SUMIFS('BY INTERVENTION'!$F:$F,'BY INTERVENTION'!$B:$B,B346,'BY INTERVENTION'!$C:$C,C346,'BY INTERVENTION'!$AA:$AA,D346)</f>
        <v>0</v>
      </c>
      <c r="G346" s="15"/>
      <c r="H346" s="15"/>
      <c r="I346" s="15"/>
      <c r="J346" s="16" t="s">
        <v>75</v>
      </c>
    </row>
    <row r="347" spans="1:10">
      <c r="A347" s="12" t="s">
        <v>25</v>
      </c>
      <c r="B347" s="12" t="s">
        <v>461</v>
      </c>
      <c r="C347" s="13" t="s">
        <v>486</v>
      </c>
      <c r="D347" s="12" t="s">
        <v>519</v>
      </c>
      <c r="E347" s="19">
        <f>SUMIFS('BY INTERVENTION'!$E:$E,'BY INTERVENTION'!$B:$B,B347,'BY INTERVENTION'!$C:$C,C347,'BY INTERVENTION'!$AA:$AA,D347)</f>
        <v>46500</v>
      </c>
      <c r="F347" s="20">
        <f>SUMIFS('BY INTERVENTION'!$F:$F,'BY INTERVENTION'!$B:$B,B347,'BY INTERVENTION'!$C:$C,C347,'BY INTERVENTION'!$AA:$AA,D347)</f>
        <v>36750</v>
      </c>
      <c r="G347" s="15"/>
      <c r="H347" s="15"/>
      <c r="I347" s="15"/>
      <c r="J347" s="16" t="s">
        <v>29</v>
      </c>
    </row>
    <row r="348" spans="1:10">
      <c r="A348" s="12" t="s">
        <v>25</v>
      </c>
      <c r="B348" s="12" t="s">
        <v>461</v>
      </c>
      <c r="C348" s="13" t="s">
        <v>486</v>
      </c>
      <c r="D348" s="12" t="s">
        <v>537</v>
      </c>
      <c r="E348" s="19">
        <f>SUMIFS('BY INTERVENTION'!$E:$E,'BY INTERVENTION'!$B:$B,B348,'BY INTERVENTION'!$C:$C,C348,'BY INTERVENTION'!$AA:$AA,D348)</f>
        <v>0</v>
      </c>
      <c r="F348" s="20">
        <f>SUMIFS('BY INTERVENTION'!$F:$F,'BY INTERVENTION'!$B:$B,B348,'BY INTERVENTION'!$C:$C,C348,'BY INTERVENTION'!$AA:$AA,D348)</f>
        <v>13440</v>
      </c>
      <c r="G348" s="15"/>
      <c r="H348" s="15"/>
      <c r="I348" s="15"/>
      <c r="J348" s="16" t="s">
        <v>410</v>
      </c>
    </row>
    <row r="349" ht="45" customHeight="1" spans="1:10">
      <c r="A349" s="12" t="s">
        <v>25</v>
      </c>
      <c r="B349" s="12" t="s">
        <v>461</v>
      </c>
      <c r="C349" s="13" t="s">
        <v>486</v>
      </c>
      <c r="D349" s="12" t="s">
        <v>532</v>
      </c>
      <c r="E349" s="19">
        <f>SUMIFS('BY INTERVENTION'!$E:$E,'BY INTERVENTION'!$B:$B,B349,'BY INTERVENTION'!$C:$C,C349,'BY INTERVENTION'!$AA:$AA,D349)</f>
        <v>4000</v>
      </c>
      <c r="F349" s="20">
        <f>SUMIFS('BY INTERVENTION'!$F:$F,'BY INTERVENTION'!$B:$B,B349,'BY INTERVENTION'!$C:$C,C349,'BY INTERVENTION'!$AA:$AA,D349)</f>
        <v>0</v>
      </c>
      <c r="G349" s="15"/>
      <c r="H349" s="15"/>
      <c r="I349" s="15"/>
      <c r="J349" s="16" t="s">
        <v>134</v>
      </c>
    </row>
    <row r="350" spans="1:10">
      <c r="A350" s="12" t="s">
        <v>25</v>
      </c>
      <c r="B350" s="12" t="s">
        <v>461</v>
      </c>
      <c r="C350" s="13" t="s">
        <v>486</v>
      </c>
      <c r="D350" s="12" t="s">
        <v>522</v>
      </c>
      <c r="E350" s="19">
        <f>SUMIFS('BY INTERVENTION'!$E:$E,'BY INTERVENTION'!$B:$B,B350,'BY INTERVENTION'!$C:$C,C350,'BY INTERVENTION'!$AA:$AA,D350)</f>
        <v>11418.8447</v>
      </c>
      <c r="F350" s="20">
        <f>SUMIFS('BY INTERVENTION'!$F:$F,'BY INTERVENTION'!$B:$B,B350,'BY INTERVENTION'!$C:$C,C350,'BY INTERVENTION'!$AA:$AA,D350)</f>
        <v>153.1847</v>
      </c>
      <c r="G350" s="15"/>
      <c r="H350" s="15"/>
      <c r="I350" s="15"/>
      <c r="J350" s="16" t="s">
        <v>64</v>
      </c>
    </row>
    <row r="351" spans="1:10">
      <c r="A351" s="12" t="s">
        <v>25</v>
      </c>
      <c r="B351" s="12" t="s">
        <v>461</v>
      </c>
      <c r="C351" s="13" t="s">
        <v>486</v>
      </c>
      <c r="D351" s="12" t="s">
        <v>533</v>
      </c>
      <c r="E351" s="19">
        <f>SUMIFS('BY INTERVENTION'!$E:$E,'BY INTERVENTION'!$B:$B,B351,'BY INTERVENTION'!$C:$C,C351,'BY INTERVENTION'!$AA:$AA,D351)</f>
        <v>1340.568</v>
      </c>
      <c r="F351" s="20">
        <f>SUMIFS('BY INTERVENTION'!$F:$F,'BY INTERVENTION'!$B:$B,B351,'BY INTERVENTION'!$C:$C,C351,'BY INTERVENTION'!$AA:$AA,D351)</f>
        <v>0</v>
      </c>
      <c r="G351" s="15"/>
      <c r="H351" s="15"/>
      <c r="I351" s="15"/>
      <c r="J351" s="16" t="s">
        <v>491</v>
      </c>
    </row>
    <row r="352" spans="1:10">
      <c r="A352" s="12" t="s">
        <v>25</v>
      </c>
      <c r="B352" s="12" t="s">
        <v>461</v>
      </c>
      <c r="C352" s="13" t="s">
        <v>502</v>
      </c>
      <c r="D352" s="12" t="s">
        <v>530</v>
      </c>
      <c r="E352" s="19">
        <f>SUMIFS('BY INTERVENTION'!$E:$E,'BY INTERVENTION'!$B:$B,B352,'BY INTERVENTION'!$C:$C,C352,'BY INTERVENTION'!$AA:$AA,D352)</f>
        <v>0</v>
      </c>
      <c r="F352" s="20">
        <f>SUMIFS('BY INTERVENTION'!$F:$F,'BY INTERVENTION'!$B:$B,B352,'BY INTERVENTION'!$C:$C,C352,'BY INTERVENTION'!$AA:$AA,D352)</f>
        <v>0</v>
      </c>
      <c r="G352" s="15"/>
      <c r="H352" s="15"/>
      <c r="I352" s="15"/>
      <c r="J352" s="16" t="s">
        <v>75</v>
      </c>
    </row>
    <row r="353" spans="1:10">
      <c r="A353" s="12" t="s">
        <v>25</v>
      </c>
      <c r="B353" s="12" t="s">
        <v>461</v>
      </c>
      <c r="C353" s="13" t="s">
        <v>502</v>
      </c>
      <c r="D353" s="12" t="s">
        <v>519</v>
      </c>
      <c r="E353" s="19">
        <f>SUMIFS('BY INTERVENTION'!$E:$E,'BY INTERVENTION'!$B:$B,B353,'BY INTERVENTION'!$C:$C,C353,'BY INTERVENTION'!$AA:$AA,D353)</f>
        <v>31000</v>
      </c>
      <c r="F353" s="20">
        <f>SUMIFS('BY INTERVENTION'!$F:$F,'BY INTERVENTION'!$B:$B,B353,'BY INTERVENTION'!$C:$C,C353,'BY INTERVENTION'!$AA:$AA,D353)</f>
        <v>138425</v>
      </c>
      <c r="G353" s="15"/>
      <c r="H353" s="15"/>
      <c r="I353" s="15"/>
      <c r="J353" s="16" t="s">
        <v>29</v>
      </c>
    </row>
    <row r="354" ht="30" customHeight="1" spans="1:10">
      <c r="A354" s="12" t="s">
        <v>25</v>
      </c>
      <c r="B354" s="12" t="s">
        <v>461</v>
      </c>
      <c r="C354" s="13" t="s">
        <v>502</v>
      </c>
      <c r="D354" s="12" t="s">
        <v>520</v>
      </c>
      <c r="E354" s="19">
        <f>SUMIFS('BY INTERVENTION'!$E:$E,'BY INTERVENTION'!$B:$B,B354,'BY INTERVENTION'!$C:$C,C354,'BY INTERVENTION'!$AA:$AA,D354)</f>
        <v>35.32</v>
      </c>
      <c r="F354" s="20">
        <f>SUMIFS('BY INTERVENTION'!$F:$F,'BY INTERVENTION'!$B:$B,B354,'BY INTERVENTION'!$C:$C,C354,'BY INTERVENTION'!$AA:$AA,D354)</f>
        <v>0</v>
      </c>
      <c r="G354" s="15"/>
      <c r="H354" s="15"/>
      <c r="I354" s="15"/>
      <c r="J354" s="16" t="s">
        <v>35</v>
      </c>
    </row>
    <row r="355" ht="30" customHeight="1" spans="1:10">
      <c r="A355" s="12" t="s">
        <v>25</v>
      </c>
      <c r="B355" s="12" t="s">
        <v>461</v>
      </c>
      <c r="C355" s="13" t="s">
        <v>502</v>
      </c>
      <c r="D355" s="12" t="s">
        <v>522</v>
      </c>
      <c r="E355" s="19">
        <f>SUMIFS('BY INTERVENTION'!$E:$E,'BY INTERVENTION'!$B:$B,B355,'BY INTERVENTION'!$C:$C,C355,'BY INTERVENTION'!$AA:$AA,D355)</f>
        <v>37498.2788</v>
      </c>
      <c r="F355" s="20">
        <f>SUMIFS('BY INTERVENTION'!$F:$F,'BY INTERVENTION'!$B:$B,B355,'BY INTERVENTION'!$C:$C,C355,'BY INTERVENTION'!$AA:$AA,D355)</f>
        <v>503.0423</v>
      </c>
      <c r="G355" s="15"/>
      <c r="H355" s="15"/>
      <c r="I355" s="15"/>
      <c r="J355" s="16" t="s">
        <v>64</v>
      </c>
    </row>
    <row r="356" ht="30" customHeight="1" spans="1:10">
      <c r="A356" s="12" t="s">
        <v>25</v>
      </c>
      <c r="B356" s="12" t="s">
        <v>461</v>
      </c>
      <c r="C356" s="13" t="s">
        <v>502</v>
      </c>
      <c r="D356" s="12" t="s">
        <v>521</v>
      </c>
      <c r="E356" s="19">
        <f>SUMIFS('BY INTERVENTION'!$E:$E,'BY INTERVENTION'!$B:$B,B356,'BY INTERVENTION'!$C:$C,C356,'BY INTERVENTION'!$AA:$AA,D356)</f>
        <v>3730</v>
      </c>
      <c r="F356" s="20">
        <f>SUMIFS('BY INTERVENTION'!$F:$F,'BY INTERVENTION'!$B:$B,B356,'BY INTERVENTION'!$C:$C,C356,'BY INTERVENTION'!$AA:$AA,D356)</f>
        <v>0</v>
      </c>
      <c r="G356" s="15"/>
      <c r="H356" s="15"/>
      <c r="I356" s="15"/>
      <c r="J356" s="16" t="s">
        <v>33</v>
      </c>
    </row>
    <row r="358" customHeight="1" spans="1:10">
      <c r="A358" s="25" t="s">
        <v>511</v>
      </c>
    </row>
  </sheetData>
  <sortState ref="A11:J357">
    <sortCondition ref="B11:B357"/>
    <sortCondition ref="C11:C357"/>
    <sortCondition ref="D11:D357"/>
  </sortState>
  <mergeCells count="2">
    <mergeCell ref="E7:F7"/>
    <mergeCell ref="H7:I7"/>
  </mergeCells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BY INTERVENTION</vt:lpstr>
      <vt:lpstr>BY COMMODITY or INDUSTRY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Jonazon Jeff Factora</cp:lastModifiedBy>
  <dcterms:created xsi:type="dcterms:W3CDTF">2026-05-21T09:14:00Z</dcterms:created>
  <dcterms:modified xsi:type="dcterms:W3CDTF">2026-05-22T09:24:56Z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AC46667C3CF14517B45DB5154D63088A_13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